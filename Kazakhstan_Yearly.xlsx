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Master_Panel" sheetId="2" r:id="rId6"/>
    <sheet state="visible" name="Add_Info" sheetId="3" r:id="rId7"/>
  </sheets>
  <definedNames/>
  <calcPr/>
</workbook>
</file>

<file path=xl/sharedStrings.xml><?xml version="1.0" encoding="utf-8"?>
<sst xmlns="http://schemas.openxmlformats.org/spreadsheetml/2006/main" count="500" uniqueCount="82">
  <si>
    <t>source</t>
  </si>
  <si>
    <t>Kazakhstan Yearly Regional data - Wages, CPI, Unemployment, GRP, Population</t>
  </si>
  <si>
    <t>region</t>
  </si>
  <si>
    <t>rows_expected</t>
  </si>
  <si>
    <t>rows_matched</t>
  </si>
  <si>
    <t>rows_missing</t>
  </si>
  <si>
    <t>coverage_detail</t>
  </si>
  <si>
    <t>wage_median</t>
  </si>
  <si>
    <t>SCOPE</t>
  </si>
  <si>
    <t xml:space="preserve">Totals only </t>
  </si>
  <si>
    <t>2019-2025 for original 17 regions + national; 2023-2025 only for Abay/Zhetisu/Ulytau</t>
  </si>
  <si>
    <t>cpi_index</t>
  </si>
  <si>
    <t>Region x year, 2019-2025, 21 regions (20 regions + national).</t>
  </si>
  <si>
    <t>2023-2025 only (monthly CPI bulletins collected start Jan 2023); annual value = mean of months collected</t>
  </si>
  <si>
    <t>unemployment_rate_pct</t>
  </si>
  <si>
    <t>2022 (official annual figure), 2023 (avg. of 4 quarters), 2024 (avg. of 3 quarters, Q4 missing); no 2019-2021</t>
  </si>
  <si>
    <t>grp_mln_tenge</t>
  </si>
  <si>
    <t>SHEETS</t>
  </si>
  <si>
    <t>2019-2025 for original regions; 2021-2025 only for Abay/Zhetisu/Ulytau (this source's own cutoff)</t>
  </si>
  <si>
    <t xml:space="preserve">Master_Panel : the merged table </t>
  </si>
  <si>
    <t>population</t>
  </si>
  <si>
    <t>Add_Info     : coverage and gaps for each of the 5 sources</t>
  </si>
  <si>
    <t xml:space="preserve">FULL 2019-2025 for all 21 regions, including Abay/Zhetisu/Ulytau </t>
  </si>
  <si>
    <t>HOW EACH COLUMN WAS BUILT</t>
  </si>
  <si>
    <t>wage_median        : median wage, tenge. Source: annual wage bulletin. 2019-2025 for the</t>
  </si>
  <si>
    <t xml:space="preserve">                     17 original regions; 2023-2025 only for Abay/Zhetisu/Ulytau (didn't exist before).</t>
  </si>
  <si>
    <t>year</t>
  </si>
  <si>
    <t>cpi_index          : consumer price index, base December 2020 = 100. Annual value is the</t>
  </si>
  <si>
    <t xml:space="preserve">                     MEAN of the calendar months actually collected that year (see</t>
  </si>
  <si>
    <t>region_type</t>
  </si>
  <si>
    <t xml:space="preserve">                     cpi_months_available -- fewer than 12 means a partial-year average).</t>
  </si>
  <si>
    <t xml:space="preserve">                     No data before 2023 (monthly CPI bulletins collected start Jan 2023).</t>
  </si>
  <si>
    <t>real_wage_median    : = wage_median / (cpi_index / 100). A live formula, in Dec-2020 tenge.</t>
  </si>
  <si>
    <t xml:space="preserve">                     Only computable where BOTH wage_median and cpi_index exist (2023-2025).</t>
  </si>
  <si>
    <t>unemployment_rate_pct: percent. 2022 uses the source's own official annual figure (not an</t>
  </si>
  <si>
    <t xml:space="preserve">                     average of quarters). 2023 is the average of all 4 quarters. 2024 is the</t>
  </si>
  <si>
    <t>cpi_months_available</t>
  </si>
  <si>
    <t xml:space="preserve">                     average of the 3 quarters collected (Q4 2024 not yet sourced -- partial).</t>
  </si>
  <si>
    <t xml:space="preserve">                     No data for 2019-2021 (not sourced). See unemployment_note per row.</t>
  </si>
  <si>
    <t>unemployment_note</t>
  </si>
  <si>
    <t>grp_mln_tenge       : Gross Regional Product, million tenge, annual. 2019-2025 for original</t>
  </si>
  <si>
    <t xml:space="preserve">                     regions; 2021-2025 only for Abay/Zhetisu/Ulytau (this source's own cutoff</t>
  </si>
  <si>
    <t xml:space="preserve">                     for the new regions is different from wages' 2023 cutoff -- not a typo).</t>
  </si>
  <si>
    <t>real_wage_median</t>
  </si>
  <si>
    <t>population          : annual, at the beginning of the year. FULL 2019-2025 history for every</t>
  </si>
  <si>
    <t>grp_per_capita_tenge</t>
  </si>
  <si>
    <t xml:space="preserve">                     region including Abay/Zhetisu/Ulytau -- this source</t>
  </si>
  <si>
    <t xml:space="preserve">                     reconstructed the new regions' population under their historical boundaries.</t>
  </si>
  <si>
    <t>grp_per_capita_tenge: = (grp_mln_tenge * 1,000,000) / population. A live formula.</t>
  </si>
  <si>
    <t>Abay</t>
  </si>
  <si>
    <t>IMPORTANT: each source has a DIFFERENT gap for the new regions</t>
  </si>
  <si>
    <t>Abay / Zhetisu / Ulytau: wages from 2023, GRP from 2021, population from 2019 (full).</t>
  </si>
  <si>
    <t>new_2023</t>
  </si>
  <si>
    <t>Color key in Master_Panel</t>
  </si>
  <si>
    <t>Green = value present.  Orange (light) = region/source did not exist / was not collected</t>
  </si>
  <si>
    <t xml:space="preserve">for this cell yet. </t>
  </si>
  <si>
    <t>not collected</t>
  </si>
  <si>
    <t>official annual figure</t>
  </si>
  <si>
    <t>average of 4 available quarter(s)</t>
  </si>
  <si>
    <t>average of 3 available quarter(s)</t>
  </si>
  <si>
    <t>Akmola</t>
  </si>
  <si>
    <t>original</t>
  </si>
  <si>
    <t>Aktobe</t>
  </si>
  <si>
    <t>Almaty</t>
  </si>
  <si>
    <t>Almaty city</t>
  </si>
  <si>
    <t>Astana city</t>
  </si>
  <si>
    <t>Atyrau</t>
  </si>
  <si>
    <t>Batys Kazakhstan</t>
  </si>
  <si>
    <t>Karagandy</t>
  </si>
  <si>
    <t>Kostanay</t>
  </si>
  <si>
    <t>Kyzylorda</t>
  </si>
  <si>
    <t>Mangystau</t>
  </si>
  <si>
    <t>Pavlodar</t>
  </si>
  <si>
    <t>Republic of Kazakhstan</t>
  </si>
  <si>
    <t>national</t>
  </si>
  <si>
    <t>Shygys Kazakhstan</t>
  </si>
  <si>
    <t>Shymkent city</t>
  </si>
  <si>
    <t>Soltustik Kazakhstan</t>
  </si>
  <si>
    <t>Turkistan</t>
  </si>
  <si>
    <t>Ulytau</t>
  </si>
  <si>
    <t>Zhambyl</t>
  </si>
  <si>
    <t>Zhetisu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</si>
</sst>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1" fillId="5" fontId="3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2" t="s">
        <v>1</v>
      </c>
    </row>
    <row r="2">
      <c r="A2" s="3"/>
    </row>
    <row r="3">
      <c r="A3" s="4" t="s">
        <v>8</v>
      </c>
    </row>
    <row r="4">
      <c r="A4" s="5" t="s">
        <v>9</v>
      </c>
    </row>
    <row r="5">
      <c r="A5" s="3" t="s">
        <v>12</v>
      </c>
    </row>
    <row r="6">
      <c r="A6" s="3"/>
    </row>
    <row r="7">
      <c r="A7" s="4" t="s">
        <v>17</v>
      </c>
    </row>
    <row r="8">
      <c r="A8" s="5" t="s">
        <v>19</v>
      </c>
    </row>
    <row r="9">
      <c r="A9" s="5" t="s">
        <v>21</v>
      </c>
    </row>
    <row r="10">
      <c r="A10" s="3"/>
    </row>
    <row r="11">
      <c r="A11" s="4" t="s">
        <v>23</v>
      </c>
    </row>
    <row r="12">
      <c r="A12" s="3" t="s">
        <v>24</v>
      </c>
    </row>
    <row r="13">
      <c r="A13" s="3" t="s">
        <v>25</v>
      </c>
    </row>
    <row r="14">
      <c r="A14" s="3" t="s">
        <v>27</v>
      </c>
    </row>
    <row r="15">
      <c r="A15" s="3" t="s">
        <v>28</v>
      </c>
    </row>
    <row r="16">
      <c r="A16" s="3" t="s">
        <v>30</v>
      </c>
    </row>
    <row r="17">
      <c r="A17" s="3" t="s">
        <v>31</v>
      </c>
    </row>
    <row r="18">
      <c r="A18" s="3" t="s">
        <v>32</v>
      </c>
    </row>
    <row r="19">
      <c r="A19" s="3" t="s">
        <v>33</v>
      </c>
    </row>
    <row r="20">
      <c r="A20" s="3" t="s">
        <v>34</v>
      </c>
    </row>
    <row r="21" ht="15.75" customHeight="1">
      <c r="A21" s="3" t="s">
        <v>35</v>
      </c>
    </row>
    <row r="22" ht="15.75" customHeight="1">
      <c r="A22" s="3" t="s">
        <v>37</v>
      </c>
    </row>
    <row r="23" ht="15.75" customHeight="1">
      <c r="A23" s="3" t="s">
        <v>38</v>
      </c>
    </row>
    <row r="24" ht="15.75" customHeight="1">
      <c r="A24" s="3" t="s">
        <v>40</v>
      </c>
    </row>
    <row r="25" ht="15.75" customHeight="1">
      <c r="A25" s="3" t="s">
        <v>41</v>
      </c>
    </row>
    <row r="26" ht="15.75" customHeight="1">
      <c r="A26" s="3" t="s">
        <v>42</v>
      </c>
    </row>
    <row r="27" ht="15.75" customHeight="1">
      <c r="A27" s="3" t="s">
        <v>44</v>
      </c>
    </row>
    <row r="28" ht="15.75" customHeight="1">
      <c r="A28" s="5" t="s">
        <v>46</v>
      </c>
    </row>
    <row r="29" ht="15.75" customHeight="1">
      <c r="A29" s="3" t="s">
        <v>47</v>
      </c>
    </row>
    <row r="30" ht="15.75" customHeight="1">
      <c r="A30" s="3" t="s">
        <v>48</v>
      </c>
    </row>
    <row r="31" ht="15.75" customHeight="1">
      <c r="A31" s="3"/>
    </row>
    <row r="32" ht="15.75" customHeight="1">
      <c r="A32" s="4" t="s">
        <v>50</v>
      </c>
    </row>
    <row r="33" ht="15.75" customHeight="1">
      <c r="A33" s="3" t="s">
        <v>51</v>
      </c>
    </row>
    <row r="34" ht="15.75" customHeight="1">
      <c r="A34" s="5"/>
    </row>
    <row r="35" ht="15.75" customHeight="1">
      <c r="A35" s="3"/>
    </row>
    <row r="36" ht="15.75" customHeight="1">
      <c r="A36" s="4" t="s">
        <v>53</v>
      </c>
    </row>
    <row r="37" ht="15.75" customHeight="1">
      <c r="A37" s="3" t="s">
        <v>54</v>
      </c>
    </row>
    <row r="38" ht="15.75" customHeight="1">
      <c r="A38" s="5" t="s">
        <v>55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4.0"/>
    <col customWidth="1" min="2" max="4" width="14.0"/>
    <col customWidth="1" min="5" max="5" width="20.0"/>
    <col customWidth="1" min="6" max="6" width="22.0"/>
    <col customWidth="1" min="7" max="7" width="23.0"/>
    <col customWidth="1" min="8" max="8" width="35.0"/>
    <col customWidth="1" min="9" max="9" width="15.0"/>
    <col customWidth="1" min="10" max="10" width="14.0"/>
    <col customWidth="1" min="11" max="11" width="18.0"/>
    <col customWidth="1" min="12" max="12" width="20.0"/>
    <col customWidth="1" min="13" max="26" width="8.71"/>
  </cols>
  <sheetData>
    <row r="1">
      <c r="A1" s="1" t="s">
        <v>2</v>
      </c>
      <c r="B1" s="1" t="s">
        <v>26</v>
      </c>
      <c r="C1" s="1" t="s">
        <v>29</v>
      </c>
      <c r="D1" s="1" t="s">
        <v>7</v>
      </c>
      <c r="E1" s="1" t="s">
        <v>11</v>
      </c>
      <c r="F1" s="1" t="s">
        <v>36</v>
      </c>
      <c r="G1" s="1" t="s">
        <v>14</v>
      </c>
      <c r="H1" s="1" t="s">
        <v>39</v>
      </c>
      <c r="I1" s="1" t="s">
        <v>16</v>
      </c>
      <c r="J1" s="1" t="s">
        <v>20</v>
      </c>
      <c r="K1" s="1" t="s">
        <v>43</v>
      </c>
      <c r="L1" s="1" t="s">
        <v>45</v>
      </c>
    </row>
    <row r="2">
      <c r="A2" s="3" t="s">
        <v>49</v>
      </c>
      <c r="B2" s="3">
        <v>2019.0</v>
      </c>
      <c r="C2" s="3" t="s">
        <v>52</v>
      </c>
      <c r="D2" s="6"/>
      <c r="E2" s="7"/>
      <c r="F2" s="3"/>
      <c r="G2" s="7"/>
      <c r="H2" s="3" t="s">
        <v>56</v>
      </c>
      <c r="I2" s="6"/>
      <c r="J2" s="8">
        <v>646086.0</v>
      </c>
      <c r="K2" s="9" t="str">
        <f t="shared" ref="K2:K148" si="1">IFERROR(IF(OR(D2="",E2=""),"",D2/(E2/100)),"")</f>
        <v/>
      </c>
      <c r="L2" s="9" t="str">
        <f t="shared" ref="L2:L148" si="2">IFERROR(IF(OR(I2="",J2=""),"",I2*1000000/J2),"")</f>
        <v/>
      </c>
    </row>
    <row r="3">
      <c r="A3" s="3" t="s">
        <v>49</v>
      </c>
      <c r="B3" s="3">
        <v>2020.0</v>
      </c>
      <c r="C3" s="3" t="s">
        <v>52</v>
      </c>
      <c r="D3" s="6"/>
      <c r="E3" s="7"/>
      <c r="F3" s="3"/>
      <c r="G3" s="7"/>
      <c r="H3" s="3" t="s">
        <v>56</v>
      </c>
      <c r="I3" s="6"/>
      <c r="J3" s="8">
        <v>642391.0</v>
      </c>
      <c r="K3" s="9" t="str">
        <f t="shared" si="1"/>
        <v/>
      </c>
      <c r="L3" s="9" t="str">
        <f t="shared" si="2"/>
        <v/>
      </c>
    </row>
    <row r="4">
      <c r="A4" s="3" t="s">
        <v>49</v>
      </c>
      <c r="B4" s="3">
        <v>2021.0</v>
      </c>
      <c r="C4" s="3" t="s">
        <v>52</v>
      </c>
      <c r="D4" s="6"/>
      <c r="E4" s="7"/>
      <c r="F4" s="3"/>
      <c r="G4" s="7"/>
      <c r="H4" s="3" t="s">
        <v>56</v>
      </c>
      <c r="I4" s="8">
        <v>1836042.7</v>
      </c>
      <c r="J4" s="8">
        <v>639532.0</v>
      </c>
      <c r="K4" s="9" t="str">
        <f t="shared" si="1"/>
        <v/>
      </c>
      <c r="L4" s="9">
        <f t="shared" si="2"/>
        <v>2870916.076</v>
      </c>
    </row>
    <row r="5">
      <c r="A5" s="3" t="s">
        <v>49</v>
      </c>
      <c r="B5" s="3">
        <v>2022.0</v>
      </c>
      <c r="C5" s="3" t="s">
        <v>52</v>
      </c>
      <c r="D5" s="6"/>
      <c r="E5" s="7"/>
      <c r="F5" s="3"/>
      <c r="G5" s="8">
        <v>5.0</v>
      </c>
      <c r="H5" s="3" t="s">
        <v>57</v>
      </c>
      <c r="I5" s="8">
        <v>2383753.4</v>
      </c>
      <c r="J5" s="8">
        <v>611888.0</v>
      </c>
      <c r="K5" s="9" t="str">
        <f t="shared" si="1"/>
        <v/>
      </c>
      <c r="L5" s="9">
        <f t="shared" si="2"/>
        <v>3895734.84</v>
      </c>
    </row>
    <row r="6">
      <c r="A6" s="3" t="s">
        <v>49</v>
      </c>
      <c r="B6" s="3">
        <v>2023.0</v>
      </c>
      <c r="C6" s="3" t="s">
        <v>52</v>
      </c>
      <c r="D6" s="8">
        <v>218693.0</v>
      </c>
      <c r="E6" s="8">
        <v>138.471428571429</v>
      </c>
      <c r="F6" s="3">
        <v>7.0</v>
      </c>
      <c r="G6" s="8">
        <v>4.725</v>
      </c>
      <c r="H6" s="3" t="s">
        <v>58</v>
      </c>
      <c r="I6" s="8">
        <v>2626326.7</v>
      </c>
      <c r="J6" s="8">
        <v>610198.0</v>
      </c>
      <c r="K6" s="9">
        <f t="shared" si="1"/>
        <v>157933.6635</v>
      </c>
      <c r="L6" s="9">
        <f t="shared" si="2"/>
        <v>4304056.552</v>
      </c>
    </row>
    <row r="7">
      <c r="A7" s="3" t="s">
        <v>49</v>
      </c>
      <c r="B7" s="3">
        <v>2024.0</v>
      </c>
      <c r="C7" s="3" t="s">
        <v>52</v>
      </c>
      <c r="D7" s="8">
        <v>247355.0</v>
      </c>
      <c r="E7" s="8">
        <v>150.609090909091</v>
      </c>
      <c r="F7" s="3">
        <v>11.0</v>
      </c>
      <c r="G7" s="8">
        <v>4.73333333333333</v>
      </c>
      <c r="H7" s="3" t="s">
        <v>59</v>
      </c>
      <c r="I7" s="8">
        <v>3248624.0</v>
      </c>
      <c r="J7" s="8">
        <v>607589.0</v>
      </c>
      <c r="K7" s="9">
        <f t="shared" si="1"/>
        <v>164236.4339</v>
      </c>
      <c r="L7" s="9">
        <f t="shared" si="2"/>
        <v>5346745.909</v>
      </c>
    </row>
    <row r="8">
      <c r="A8" s="3" t="s">
        <v>49</v>
      </c>
      <c r="B8" s="3">
        <v>2025.0</v>
      </c>
      <c r="C8" s="3" t="s">
        <v>52</v>
      </c>
      <c r="D8" s="8">
        <v>289910.0</v>
      </c>
      <c r="E8" s="8">
        <v>166.95</v>
      </c>
      <c r="F8" s="3">
        <v>12.0</v>
      </c>
      <c r="G8" s="7"/>
      <c r="H8" s="3" t="s">
        <v>56</v>
      </c>
      <c r="I8" s="8">
        <v>4128287.9</v>
      </c>
      <c r="J8" s="8">
        <v>602832.0</v>
      </c>
      <c r="K8" s="9">
        <f t="shared" si="1"/>
        <v>173650.7937</v>
      </c>
      <c r="L8" s="9">
        <f t="shared" si="2"/>
        <v>6848156.534</v>
      </c>
    </row>
    <row r="9">
      <c r="A9" s="3" t="s">
        <v>60</v>
      </c>
      <c r="B9" s="3">
        <v>2019.0</v>
      </c>
      <c r="C9" s="3" t="s">
        <v>61</v>
      </c>
      <c r="D9" s="8">
        <v>99224.0</v>
      </c>
      <c r="E9" s="7"/>
      <c r="F9" s="3"/>
      <c r="G9" s="7"/>
      <c r="H9" s="3" t="s">
        <v>56</v>
      </c>
      <c r="I9" s="8">
        <v>1933580.2</v>
      </c>
      <c r="J9" s="8">
        <v>737244.0</v>
      </c>
      <c r="K9" s="9" t="str">
        <f t="shared" si="1"/>
        <v/>
      </c>
      <c r="L9" s="9">
        <f t="shared" si="2"/>
        <v>2622714.054</v>
      </c>
    </row>
    <row r="10">
      <c r="A10" s="3" t="s">
        <v>60</v>
      </c>
      <c r="B10" s="3">
        <v>2020.0</v>
      </c>
      <c r="C10" s="3" t="s">
        <v>61</v>
      </c>
      <c r="D10" s="8">
        <v>124919.0</v>
      </c>
      <c r="E10" s="7"/>
      <c r="F10" s="3"/>
      <c r="G10" s="7"/>
      <c r="H10" s="3" t="s">
        <v>56</v>
      </c>
      <c r="I10" s="8">
        <v>2283939.8</v>
      </c>
      <c r="J10" s="8">
        <v>735394.0</v>
      </c>
      <c r="K10" s="9" t="str">
        <f t="shared" si="1"/>
        <v/>
      </c>
      <c r="L10" s="9">
        <f t="shared" si="2"/>
        <v>3105736.245</v>
      </c>
    </row>
    <row r="11">
      <c r="A11" s="3" t="s">
        <v>60</v>
      </c>
      <c r="B11" s="3">
        <v>2021.0</v>
      </c>
      <c r="C11" s="3" t="s">
        <v>61</v>
      </c>
      <c r="D11" s="8">
        <v>145890.0</v>
      </c>
      <c r="E11" s="7"/>
      <c r="F11" s="3"/>
      <c r="G11" s="7"/>
      <c r="H11" s="3" t="s">
        <v>56</v>
      </c>
      <c r="I11" s="8">
        <v>2678123.1</v>
      </c>
      <c r="J11" s="8">
        <v>734265.0</v>
      </c>
      <c r="K11" s="9" t="str">
        <f t="shared" si="1"/>
        <v/>
      </c>
      <c r="L11" s="9">
        <f t="shared" si="2"/>
        <v>3647352.25</v>
      </c>
    </row>
    <row r="12">
      <c r="A12" s="3" t="s">
        <v>60</v>
      </c>
      <c r="B12" s="3">
        <v>2022.0</v>
      </c>
      <c r="C12" s="3" t="s">
        <v>61</v>
      </c>
      <c r="D12" s="8">
        <v>182318.0</v>
      </c>
      <c r="E12" s="7"/>
      <c r="F12" s="3"/>
      <c r="G12" s="8">
        <v>4.8</v>
      </c>
      <c r="H12" s="3" t="s">
        <v>57</v>
      </c>
      <c r="I12" s="8">
        <v>3484572.5</v>
      </c>
      <c r="J12" s="8">
        <v>785708.0</v>
      </c>
      <c r="K12" s="9" t="str">
        <f t="shared" si="1"/>
        <v/>
      </c>
      <c r="L12" s="9">
        <f t="shared" si="2"/>
        <v>4434945.934</v>
      </c>
    </row>
    <row r="13">
      <c r="A13" s="3" t="s">
        <v>60</v>
      </c>
      <c r="B13" s="3">
        <v>2023.0</v>
      </c>
      <c r="C13" s="3" t="s">
        <v>61</v>
      </c>
      <c r="D13" s="8">
        <v>230999.0</v>
      </c>
      <c r="E13" s="8">
        <v>140.514285714286</v>
      </c>
      <c r="F13" s="3">
        <v>7.0</v>
      </c>
      <c r="G13" s="8">
        <v>4.75</v>
      </c>
      <c r="H13" s="3" t="s">
        <v>58</v>
      </c>
      <c r="I13" s="8">
        <v>3668371.9</v>
      </c>
      <c r="J13" s="8">
        <v>788013.0</v>
      </c>
      <c r="K13" s="9">
        <f t="shared" si="1"/>
        <v>164395.3843</v>
      </c>
      <c r="L13" s="9">
        <f t="shared" si="2"/>
        <v>4655217.49</v>
      </c>
    </row>
    <row r="14">
      <c r="A14" s="3" t="s">
        <v>60</v>
      </c>
      <c r="B14" s="3">
        <v>2024.0</v>
      </c>
      <c r="C14" s="3" t="s">
        <v>61</v>
      </c>
      <c r="D14" s="8">
        <v>259430.0</v>
      </c>
      <c r="E14" s="8">
        <v>153.0</v>
      </c>
      <c r="F14" s="3">
        <v>11.0</v>
      </c>
      <c r="G14" s="8">
        <v>4.6</v>
      </c>
      <c r="H14" s="3" t="s">
        <v>59</v>
      </c>
      <c r="I14" s="8">
        <v>4200170.2</v>
      </c>
      <c r="J14" s="8">
        <v>787981.0</v>
      </c>
      <c r="K14" s="9">
        <f t="shared" si="1"/>
        <v>169562.0915</v>
      </c>
      <c r="L14" s="9">
        <f t="shared" si="2"/>
        <v>5330293.751</v>
      </c>
    </row>
    <row r="15">
      <c r="A15" s="3" t="s">
        <v>60</v>
      </c>
      <c r="B15" s="3">
        <v>2025.0</v>
      </c>
      <c r="C15" s="3" t="s">
        <v>61</v>
      </c>
      <c r="D15" s="8">
        <v>297468.0</v>
      </c>
      <c r="E15" s="8">
        <v>171.366666666667</v>
      </c>
      <c r="F15" s="3">
        <v>12.0</v>
      </c>
      <c r="G15" s="7"/>
      <c r="H15" s="3" t="s">
        <v>56</v>
      </c>
      <c r="I15" s="8">
        <v>5158095.3</v>
      </c>
      <c r="J15" s="8">
        <v>787263.0</v>
      </c>
      <c r="K15" s="9">
        <f t="shared" si="1"/>
        <v>173585.6837</v>
      </c>
      <c r="L15" s="9">
        <f t="shared" si="2"/>
        <v>6551934.106</v>
      </c>
    </row>
    <row r="16">
      <c r="A16" s="3" t="s">
        <v>62</v>
      </c>
      <c r="B16" s="3">
        <v>2019.0</v>
      </c>
      <c r="C16" s="3" t="s">
        <v>61</v>
      </c>
      <c r="D16" s="8">
        <v>110525.0</v>
      </c>
      <c r="E16" s="7"/>
      <c r="F16" s="3"/>
      <c r="G16" s="7"/>
      <c r="H16" s="3" t="s">
        <v>56</v>
      </c>
      <c r="I16" s="8">
        <v>2974420.9</v>
      </c>
      <c r="J16" s="8">
        <v>869066.0</v>
      </c>
      <c r="K16" s="9" t="str">
        <f t="shared" si="1"/>
        <v/>
      </c>
      <c r="L16" s="9">
        <f t="shared" si="2"/>
        <v>3422548.92</v>
      </c>
    </row>
    <row r="17">
      <c r="A17" s="3" t="s">
        <v>62</v>
      </c>
      <c r="B17" s="3">
        <v>2020.0</v>
      </c>
      <c r="C17" s="3" t="s">
        <v>61</v>
      </c>
      <c r="D17" s="8">
        <v>142495.0</v>
      </c>
      <c r="E17" s="7"/>
      <c r="F17" s="3"/>
      <c r="G17" s="7"/>
      <c r="H17" s="3" t="s">
        <v>56</v>
      </c>
      <c r="I17" s="8">
        <v>2956872.2</v>
      </c>
      <c r="J17" s="8">
        <v>881096.0</v>
      </c>
      <c r="K17" s="9" t="str">
        <f t="shared" si="1"/>
        <v/>
      </c>
      <c r="L17" s="9">
        <f t="shared" si="2"/>
        <v>3355902.422</v>
      </c>
    </row>
    <row r="18">
      <c r="A18" s="3" t="s">
        <v>62</v>
      </c>
      <c r="B18" s="3">
        <v>2021.0</v>
      </c>
      <c r="C18" s="3" t="s">
        <v>61</v>
      </c>
      <c r="D18" s="8">
        <v>154081.0</v>
      </c>
      <c r="E18" s="7"/>
      <c r="F18" s="3"/>
      <c r="G18" s="7"/>
      <c r="H18" s="3" t="s">
        <v>56</v>
      </c>
      <c r="I18" s="8">
        <v>3586222.6</v>
      </c>
      <c r="J18" s="8">
        <v>893785.0</v>
      </c>
      <c r="K18" s="9" t="str">
        <f t="shared" si="1"/>
        <v/>
      </c>
      <c r="L18" s="9">
        <f t="shared" si="2"/>
        <v>4012399.626</v>
      </c>
    </row>
    <row r="19">
      <c r="A19" s="3" t="s">
        <v>62</v>
      </c>
      <c r="B19" s="3">
        <v>2022.0</v>
      </c>
      <c r="C19" s="3" t="s">
        <v>61</v>
      </c>
      <c r="D19" s="8">
        <v>199503.0</v>
      </c>
      <c r="E19" s="7"/>
      <c r="F19" s="3"/>
      <c r="G19" s="8">
        <v>4.8</v>
      </c>
      <c r="H19" s="3" t="s">
        <v>57</v>
      </c>
      <c r="I19" s="8">
        <v>4416899.4</v>
      </c>
      <c r="J19" s="8">
        <v>916750.0</v>
      </c>
      <c r="K19" s="9" t="str">
        <f t="shared" si="1"/>
        <v/>
      </c>
      <c r="L19" s="9">
        <f t="shared" si="2"/>
        <v>4817997.709</v>
      </c>
    </row>
    <row r="20">
      <c r="A20" s="3" t="s">
        <v>62</v>
      </c>
      <c r="B20" s="3">
        <v>2023.0</v>
      </c>
      <c r="C20" s="3" t="s">
        <v>61</v>
      </c>
      <c r="D20" s="8">
        <v>252334.0</v>
      </c>
      <c r="E20" s="8">
        <v>137.871428571429</v>
      </c>
      <c r="F20" s="3">
        <v>7.0</v>
      </c>
      <c r="G20" s="8">
        <v>4.75</v>
      </c>
      <c r="H20" s="3" t="s">
        <v>58</v>
      </c>
      <c r="I20" s="8">
        <v>4187587.9</v>
      </c>
      <c r="J20" s="8">
        <v>928159.0</v>
      </c>
      <c r="K20" s="9">
        <f t="shared" si="1"/>
        <v>183021.2413</v>
      </c>
      <c r="L20" s="9">
        <f t="shared" si="2"/>
        <v>4511713.941</v>
      </c>
    </row>
    <row r="21" ht="15.75" customHeight="1">
      <c r="A21" s="3" t="s">
        <v>62</v>
      </c>
      <c r="B21" s="3">
        <v>2024.0</v>
      </c>
      <c r="C21" s="3" t="s">
        <v>61</v>
      </c>
      <c r="D21" s="8">
        <v>284898.0</v>
      </c>
      <c r="E21" s="8">
        <v>149.554545454546</v>
      </c>
      <c r="F21" s="3">
        <v>11.0</v>
      </c>
      <c r="G21" s="8">
        <v>4.7</v>
      </c>
      <c r="H21" s="3" t="s">
        <v>59</v>
      </c>
      <c r="I21" s="8">
        <v>4960038.0</v>
      </c>
      <c r="J21" s="8">
        <v>939405.0</v>
      </c>
      <c r="K21" s="9">
        <f t="shared" si="1"/>
        <v>190497.7205</v>
      </c>
      <c r="L21" s="9">
        <f t="shared" si="2"/>
        <v>5279978.284</v>
      </c>
    </row>
    <row r="22" ht="15.75" customHeight="1">
      <c r="A22" s="3" t="s">
        <v>62</v>
      </c>
      <c r="B22" s="3">
        <v>2025.0</v>
      </c>
      <c r="C22" s="3" t="s">
        <v>61</v>
      </c>
      <c r="D22" s="8">
        <v>308920.0</v>
      </c>
      <c r="E22" s="8">
        <v>166.425</v>
      </c>
      <c r="F22" s="3">
        <v>12.0</v>
      </c>
      <c r="G22" s="7"/>
      <c r="H22" s="3" t="s">
        <v>56</v>
      </c>
      <c r="I22" s="8">
        <v>5246041.6</v>
      </c>
      <c r="J22" s="8">
        <v>949524.0</v>
      </c>
      <c r="K22" s="9">
        <f t="shared" si="1"/>
        <v>185621.1507</v>
      </c>
      <c r="L22" s="9">
        <f t="shared" si="2"/>
        <v>5524917.327</v>
      </c>
    </row>
    <row r="23" ht="15.75" customHeight="1">
      <c r="A23" s="3" t="s">
        <v>63</v>
      </c>
      <c r="B23" s="3">
        <v>2019.0</v>
      </c>
      <c r="C23" s="3" t="s">
        <v>61</v>
      </c>
      <c r="D23" s="8">
        <v>96224.0</v>
      </c>
      <c r="E23" s="7"/>
      <c r="F23" s="3"/>
      <c r="G23" s="7"/>
      <c r="H23" s="3" t="s">
        <v>56</v>
      </c>
      <c r="I23" s="8">
        <v>3246080.4</v>
      </c>
      <c r="J23" s="8">
        <v>1372863.0</v>
      </c>
      <c r="K23" s="9" t="str">
        <f t="shared" si="1"/>
        <v/>
      </c>
      <c r="L23" s="9">
        <f t="shared" si="2"/>
        <v>2364460.547</v>
      </c>
    </row>
    <row r="24" ht="15.75" customHeight="1">
      <c r="A24" s="3" t="s">
        <v>63</v>
      </c>
      <c r="B24" s="3">
        <v>2020.0</v>
      </c>
      <c r="C24" s="3" t="s">
        <v>61</v>
      </c>
      <c r="D24" s="8">
        <v>124578.0</v>
      </c>
      <c r="E24" s="7"/>
      <c r="F24" s="3"/>
      <c r="G24" s="7"/>
      <c r="H24" s="3" t="s">
        <v>56</v>
      </c>
      <c r="I24" s="8">
        <v>3731039.5</v>
      </c>
      <c r="J24" s="8">
        <v>1392113.0</v>
      </c>
      <c r="K24" s="9" t="str">
        <f t="shared" si="1"/>
        <v/>
      </c>
      <c r="L24" s="9">
        <f t="shared" si="2"/>
        <v>2680126.901</v>
      </c>
    </row>
    <row r="25" ht="15.75" customHeight="1">
      <c r="A25" s="3" t="s">
        <v>63</v>
      </c>
      <c r="B25" s="3">
        <v>2021.0</v>
      </c>
      <c r="C25" s="3" t="s">
        <v>61</v>
      </c>
      <c r="D25" s="8">
        <v>156300.0</v>
      </c>
      <c r="E25" s="7"/>
      <c r="F25" s="3"/>
      <c r="G25" s="7"/>
      <c r="H25" s="3" t="s">
        <v>56</v>
      </c>
      <c r="I25" s="8">
        <v>3379734.3</v>
      </c>
      <c r="J25" s="8">
        <v>1412527.0</v>
      </c>
      <c r="K25" s="9" t="str">
        <f t="shared" si="1"/>
        <v/>
      </c>
      <c r="L25" s="9">
        <f t="shared" si="2"/>
        <v>2392686.511</v>
      </c>
    </row>
    <row r="26" ht="15.75" customHeight="1">
      <c r="A26" s="3" t="s">
        <v>63</v>
      </c>
      <c r="B26" s="3">
        <v>2022.0</v>
      </c>
      <c r="C26" s="3" t="s">
        <v>61</v>
      </c>
      <c r="D26" s="8">
        <v>178077.0</v>
      </c>
      <c r="E26" s="7"/>
      <c r="F26" s="3"/>
      <c r="G26" s="8">
        <v>4.7</v>
      </c>
      <c r="H26" s="3" t="s">
        <v>57</v>
      </c>
      <c r="I26" s="8">
        <v>4267665.3</v>
      </c>
      <c r="J26" s="8">
        <v>1478496.0</v>
      </c>
      <c r="K26" s="9" t="str">
        <f t="shared" si="1"/>
        <v/>
      </c>
      <c r="L26" s="9">
        <f t="shared" si="2"/>
        <v>2886490.934</v>
      </c>
    </row>
    <row r="27" ht="15.75" customHeight="1">
      <c r="A27" s="3" t="s">
        <v>63</v>
      </c>
      <c r="B27" s="3">
        <v>2023.0</v>
      </c>
      <c r="C27" s="3" t="s">
        <v>61</v>
      </c>
      <c r="D27" s="8">
        <v>213464.0</v>
      </c>
      <c r="E27" s="8">
        <v>134.2</v>
      </c>
      <c r="F27" s="3">
        <v>7.0</v>
      </c>
      <c r="G27" s="8">
        <v>4.675</v>
      </c>
      <c r="H27" s="3" t="s">
        <v>58</v>
      </c>
      <c r="I27" s="8">
        <v>5322132.0</v>
      </c>
      <c r="J27" s="8">
        <v>1505896.0</v>
      </c>
      <c r="K27" s="9">
        <f t="shared" si="1"/>
        <v>159064.0835</v>
      </c>
      <c r="L27" s="9">
        <f t="shared" si="2"/>
        <v>3534196.253</v>
      </c>
    </row>
    <row r="28" ht="15.75" customHeight="1">
      <c r="A28" s="3" t="s">
        <v>63</v>
      </c>
      <c r="B28" s="3">
        <v>2024.0</v>
      </c>
      <c r="C28" s="3" t="s">
        <v>61</v>
      </c>
      <c r="D28" s="8">
        <v>270266.0</v>
      </c>
      <c r="E28" s="8">
        <v>142.890909090909</v>
      </c>
      <c r="F28" s="3">
        <v>11.0</v>
      </c>
      <c r="G28" s="8">
        <v>4.66666666666667</v>
      </c>
      <c r="H28" s="3" t="s">
        <v>59</v>
      </c>
      <c r="I28" s="8">
        <v>6040608.6</v>
      </c>
      <c r="J28" s="8">
        <v>1531167.0</v>
      </c>
      <c r="K28" s="9">
        <f t="shared" si="1"/>
        <v>189141.4938</v>
      </c>
      <c r="L28" s="9">
        <f t="shared" si="2"/>
        <v>3945101.09</v>
      </c>
    </row>
    <row r="29" ht="15.75" customHeight="1">
      <c r="A29" s="3" t="s">
        <v>63</v>
      </c>
      <c r="B29" s="3">
        <v>2025.0</v>
      </c>
      <c r="C29" s="3" t="s">
        <v>61</v>
      </c>
      <c r="D29" s="8">
        <v>294517.0</v>
      </c>
      <c r="E29" s="8">
        <v>157.291666666667</v>
      </c>
      <c r="F29" s="3">
        <v>12.0</v>
      </c>
      <c r="G29" s="7"/>
      <c r="H29" s="3" t="s">
        <v>56</v>
      </c>
      <c r="I29" s="8">
        <v>6792939.5</v>
      </c>
      <c r="J29" s="8">
        <v>1560124.0</v>
      </c>
      <c r="K29" s="9">
        <f t="shared" si="1"/>
        <v>187242.596</v>
      </c>
      <c r="L29" s="9">
        <f t="shared" si="2"/>
        <v>4354102.302</v>
      </c>
    </row>
    <row r="30" ht="15.75" customHeight="1">
      <c r="A30" s="3" t="s">
        <v>64</v>
      </c>
      <c r="B30" s="3">
        <v>2019.0</v>
      </c>
      <c r="C30" s="3" t="s">
        <v>61</v>
      </c>
      <c r="D30" s="8">
        <v>142334.0</v>
      </c>
      <c r="E30" s="7"/>
      <c r="F30" s="3"/>
      <c r="G30" s="7"/>
      <c r="H30" s="3" t="s">
        <v>56</v>
      </c>
      <c r="I30" s="8">
        <v>1.35469584E7</v>
      </c>
      <c r="J30" s="8">
        <v>1859288.0</v>
      </c>
      <c r="K30" s="9" t="str">
        <f t="shared" si="1"/>
        <v/>
      </c>
      <c r="L30" s="9">
        <f t="shared" si="2"/>
        <v>7286100.056</v>
      </c>
    </row>
    <row r="31" ht="15.75" customHeight="1">
      <c r="A31" s="3" t="s">
        <v>64</v>
      </c>
      <c r="B31" s="3">
        <v>2020.0</v>
      </c>
      <c r="C31" s="3" t="s">
        <v>61</v>
      </c>
      <c r="D31" s="8">
        <v>170874.0</v>
      </c>
      <c r="E31" s="7"/>
      <c r="F31" s="3"/>
      <c r="G31" s="7"/>
      <c r="H31" s="3" t="s">
        <v>56</v>
      </c>
      <c r="I31" s="8">
        <v>1.34598026E7</v>
      </c>
      <c r="J31" s="8">
        <v>1921499.0</v>
      </c>
      <c r="K31" s="9" t="str">
        <f t="shared" si="1"/>
        <v/>
      </c>
      <c r="L31" s="9">
        <f t="shared" si="2"/>
        <v>7004844.967</v>
      </c>
    </row>
    <row r="32" ht="15.75" customHeight="1">
      <c r="A32" s="3" t="s">
        <v>64</v>
      </c>
      <c r="B32" s="3">
        <v>2021.0</v>
      </c>
      <c r="C32" s="3" t="s">
        <v>61</v>
      </c>
      <c r="D32" s="8">
        <v>189122.0</v>
      </c>
      <c r="E32" s="7"/>
      <c r="F32" s="3"/>
      <c r="G32" s="7"/>
      <c r="H32" s="3" t="s">
        <v>56</v>
      </c>
      <c r="I32" s="8">
        <v>1.50000604E7</v>
      </c>
      <c r="J32" s="8">
        <v>1981992.0</v>
      </c>
      <c r="K32" s="9" t="str">
        <f t="shared" si="1"/>
        <v/>
      </c>
      <c r="L32" s="9">
        <f t="shared" si="2"/>
        <v>7568174.039</v>
      </c>
    </row>
    <row r="33" ht="15.75" customHeight="1">
      <c r="A33" s="3" t="s">
        <v>64</v>
      </c>
      <c r="B33" s="3">
        <v>2022.0</v>
      </c>
      <c r="C33" s="3" t="s">
        <v>61</v>
      </c>
      <c r="D33" s="8">
        <v>231958.0</v>
      </c>
      <c r="E33" s="7"/>
      <c r="F33" s="3"/>
      <c r="G33" s="8">
        <v>5.0</v>
      </c>
      <c r="H33" s="3" t="s">
        <v>57</v>
      </c>
      <c r="I33" s="8">
        <v>1.91545367E7</v>
      </c>
      <c r="J33" s="8">
        <v>2101485.0</v>
      </c>
      <c r="K33" s="9" t="str">
        <f t="shared" si="1"/>
        <v/>
      </c>
      <c r="L33" s="9">
        <f t="shared" si="2"/>
        <v>9114762.513</v>
      </c>
    </row>
    <row r="34" ht="15.75" customHeight="1">
      <c r="A34" s="3" t="s">
        <v>64</v>
      </c>
      <c r="B34" s="3">
        <v>2023.0</v>
      </c>
      <c r="C34" s="3" t="s">
        <v>61</v>
      </c>
      <c r="D34" s="8">
        <v>283280.0</v>
      </c>
      <c r="E34" s="8">
        <v>137.8</v>
      </c>
      <c r="F34" s="3">
        <v>7.0</v>
      </c>
      <c r="G34" s="8">
        <v>4.8</v>
      </c>
      <c r="H34" s="3" t="s">
        <v>58</v>
      </c>
      <c r="I34" s="8">
        <v>2.52297068E7</v>
      </c>
      <c r="J34" s="8">
        <v>2161901.0</v>
      </c>
      <c r="K34" s="9">
        <f t="shared" si="1"/>
        <v>205573.2946</v>
      </c>
      <c r="L34" s="9">
        <f t="shared" si="2"/>
        <v>11670149</v>
      </c>
    </row>
    <row r="35" ht="15.75" customHeight="1">
      <c r="A35" s="3" t="s">
        <v>64</v>
      </c>
      <c r="B35" s="3">
        <v>2024.0</v>
      </c>
      <c r="C35" s="3" t="s">
        <v>61</v>
      </c>
      <c r="D35" s="8">
        <v>325649.0</v>
      </c>
      <c r="E35" s="8">
        <v>150.2</v>
      </c>
      <c r="F35" s="3">
        <v>11.0</v>
      </c>
      <c r="G35" s="8">
        <v>4.63333333333333</v>
      </c>
      <c r="H35" s="3" t="s">
        <v>59</v>
      </c>
      <c r="I35" s="8">
        <v>3.12944667E7</v>
      </c>
      <c r="J35" s="8">
        <v>2228675.0</v>
      </c>
      <c r="K35" s="9">
        <f t="shared" si="1"/>
        <v>216810.253</v>
      </c>
      <c r="L35" s="9">
        <f t="shared" si="2"/>
        <v>14041736.32</v>
      </c>
    </row>
    <row r="36" ht="15.75" customHeight="1">
      <c r="A36" s="3" t="s">
        <v>64</v>
      </c>
      <c r="B36" s="3">
        <v>2025.0</v>
      </c>
      <c r="C36" s="3" t="s">
        <v>61</v>
      </c>
      <c r="D36" s="8">
        <v>377899.0</v>
      </c>
      <c r="E36" s="8">
        <v>167.466666666667</v>
      </c>
      <c r="F36" s="3">
        <v>12.0</v>
      </c>
      <c r="G36" s="7"/>
      <c r="H36" s="3" t="s">
        <v>56</v>
      </c>
      <c r="I36" s="8">
        <v>3.61957609E7</v>
      </c>
      <c r="J36" s="8">
        <v>2292055.0</v>
      </c>
      <c r="K36" s="9">
        <f t="shared" si="1"/>
        <v>225656.25</v>
      </c>
      <c r="L36" s="9">
        <f t="shared" si="2"/>
        <v>15791837.85</v>
      </c>
    </row>
    <row r="37" ht="15.75" customHeight="1">
      <c r="A37" s="3" t="s">
        <v>65</v>
      </c>
      <c r="B37" s="3">
        <v>2019.0</v>
      </c>
      <c r="C37" s="3" t="s">
        <v>61</v>
      </c>
      <c r="D37" s="8">
        <v>165645.0</v>
      </c>
      <c r="E37" s="7"/>
      <c r="F37" s="3"/>
      <c r="G37" s="7"/>
      <c r="H37" s="3" t="s">
        <v>56</v>
      </c>
      <c r="I37" s="8">
        <v>7834828.5</v>
      </c>
      <c r="J37" s="8">
        <v>1084712.0</v>
      </c>
      <c r="K37" s="9" t="str">
        <f t="shared" si="1"/>
        <v/>
      </c>
      <c r="L37" s="9">
        <f t="shared" si="2"/>
        <v>7222957.338</v>
      </c>
    </row>
    <row r="38" ht="15.75" customHeight="1">
      <c r="A38" s="3" t="s">
        <v>65</v>
      </c>
      <c r="B38" s="3">
        <v>2020.0</v>
      </c>
      <c r="C38" s="3" t="s">
        <v>61</v>
      </c>
      <c r="D38" s="8">
        <v>198482.0</v>
      </c>
      <c r="E38" s="7"/>
      <c r="F38" s="3"/>
      <c r="G38" s="7"/>
      <c r="H38" s="3" t="s">
        <v>56</v>
      </c>
      <c r="I38" s="8">
        <v>7975283.1</v>
      </c>
      <c r="J38" s="8">
        <v>1142470.0</v>
      </c>
      <c r="K38" s="9" t="str">
        <f t="shared" si="1"/>
        <v/>
      </c>
      <c r="L38" s="9">
        <f t="shared" si="2"/>
        <v>6980737.437</v>
      </c>
    </row>
    <row r="39" ht="15.75" customHeight="1">
      <c r="A39" s="3" t="s">
        <v>65</v>
      </c>
      <c r="B39" s="3">
        <v>2021.0</v>
      </c>
      <c r="C39" s="3" t="s">
        <v>61</v>
      </c>
      <c r="D39" s="8">
        <v>216724.0</v>
      </c>
      <c r="E39" s="7"/>
      <c r="F39" s="3"/>
      <c r="G39" s="7"/>
      <c r="H39" s="3" t="s">
        <v>56</v>
      </c>
      <c r="I39" s="8">
        <v>8923711.8</v>
      </c>
      <c r="J39" s="8">
        <v>1190711.0</v>
      </c>
      <c r="K39" s="9" t="str">
        <f t="shared" si="1"/>
        <v/>
      </c>
      <c r="L39" s="9">
        <f t="shared" si="2"/>
        <v>7494439.709</v>
      </c>
    </row>
    <row r="40" ht="15.75" customHeight="1">
      <c r="A40" s="3" t="s">
        <v>65</v>
      </c>
      <c r="B40" s="3">
        <v>2022.0</v>
      </c>
      <c r="C40" s="3" t="s">
        <v>61</v>
      </c>
      <c r="D40" s="8">
        <v>258535.0</v>
      </c>
      <c r="E40" s="7"/>
      <c r="F40" s="3"/>
      <c r="G40" s="8">
        <v>4.6</v>
      </c>
      <c r="H40" s="3" t="s">
        <v>57</v>
      </c>
      <c r="I40" s="8">
        <v>1.06724805E7</v>
      </c>
      <c r="J40" s="8">
        <v>1295711.0</v>
      </c>
      <c r="K40" s="9" t="str">
        <f t="shared" si="1"/>
        <v/>
      </c>
      <c r="L40" s="9">
        <f t="shared" si="2"/>
        <v>8236775.407</v>
      </c>
    </row>
    <row r="41" ht="15.75" customHeight="1">
      <c r="A41" s="3" t="s">
        <v>65</v>
      </c>
      <c r="B41" s="3">
        <v>2023.0</v>
      </c>
      <c r="C41" s="3" t="s">
        <v>61</v>
      </c>
      <c r="D41" s="8">
        <v>297332.0</v>
      </c>
      <c r="E41" s="8">
        <v>140.514285714286</v>
      </c>
      <c r="F41" s="3">
        <v>7.0</v>
      </c>
      <c r="G41" s="8">
        <v>4.475</v>
      </c>
      <c r="H41" s="3" t="s">
        <v>58</v>
      </c>
      <c r="I41" s="8">
        <v>1.2960836E7</v>
      </c>
      <c r="J41" s="8">
        <v>1354559.0</v>
      </c>
      <c r="K41" s="9">
        <f t="shared" si="1"/>
        <v>211602.684</v>
      </c>
      <c r="L41" s="9">
        <f t="shared" si="2"/>
        <v>9568306.733</v>
      </c>
    </row>
    <row r="42" ht="15.75" customHeight="1">
      <c r="A42" s="3" t="s">
        <v>65</v>
      </c>
      <c r="B42" s="3">
        <v>2024.0</v>
      </c>
      <c r="C42" s="3" t="s">
        <v>61</v>
      </c>
      <c r="D42" s="8">
        <v>327598.0</v>
      </c>
      <c r="E42" s="8">
        <v>154.527272727273</v>
      </c>
      <c r="F42" s="3">
        <v>11.0</v>
      </c>
      <c r="G42" s="8">
        <v>4.46666666666667</v>
      </c>
      <c r="H42" s="3" t="s">
        <v>59</v>
      </c>
      <c r="I42" s="8">
        <v>1.5051922E7</v>
      </c>
      <c r="J42" s="8">
        <v>1430105.0</v>
      </c>
      <c r="K42" s="9">
        <f t="shared" si="1"/>
        <v>212000.1177</v>
      </c>
      <c r="L42" s="9">
        <f t="shared" si="2"/>
        <v>10525046.76</v>
      </c>
    </row>
    <row r="43" ht="15.75" customHeight="1">
      <c r="A43" s="3" t="s">
        <v>65</v>
      </c>
      <c r="B43" s="3">
        <v>2025.0</v>
      </c>
      <c r="C43" s="3" t="s">
        <v>61</v>
      </c>
      <c r="D43" s="8">
        <v>386678.0</v>
      </c>
      <c r="E43" s="8">
        <v>173.841666666667</v>
      </c>
      <c r="F43" s="3">
        <v>12.0</v>
      </c>
      <c r="G43" s="7"/>
      <c r="H43" s="3" t="s">
        <v>56</v>
      </c>
      <c r="I43" s="8">
        <v>1.95933274E7</v>
      </c>
      <c r="J43" s="8">
        <v>1528703.0</v>
      </c>
      <c r="K43" s="9">
        <f t="shared" si="1"/>
        <v>222431.1394</v>
      </c>
      <c r="L43" s="9">
        <f t="shared" si="2"/>
        <v>12816961.44</v>
      </c>
    </row>
    <row r="44" ht="15.75" customHeight="1">
      <c r="A44" s="3" t="s">
        <v>66</v>
      </c>
      <c r="B44" s="3">
        <v>2019.0</v>
      </c>
      <c r="C44" s="3" t="s">
        <v>61</v>
      </c>
      <c r="D44" s="8">
        <v>159911.0</v>
      </c>
      <c r="E44" s="7"/>
      <c r="F44" s="3"/>
      <c r="G44" s="7"/>
      <c r="H44" s="3" t="s">
        <v>56</v>
      </c>
      <c r="I44" s="8">
        <v>9327263.3</v>
      </c>
      <c r="J44" s="8">
        <v>633797.0</v>
      </c>
      <c r="K44" s="9" t="str">
        <f t="shared" si="1"/>
        <v/>
      </c>
      <c r="L44" s="9">
        <f t="shared" si="2"/>
        <v>14716483.83</v>
      </c>
    </row>
    <row r="45" ht="15.75" customHeight="1">
      <c r="A45" s="3" t="s">
        <v>66</v>
      </c>
      <c r="B45" s="3">
        <v>2020.0</v>
      </c>
      <c r="C45" s="3" t="s">
        <v>61</v>
      </c>
      <c r="D45" s="8">
        <v>195936.0</v>
      </c>
      <c r="E45" s="7"/>
      <c r="F45" s="3"/>
      <c r="G45" s="7"/>
      <c r="H45" s="3" t="s">
        <v>56</v>
      </c>
      <c r="I45" s="8">
        <v>7738259.2</v>
      </c>
      <c r="J45" s="8">
        <v>645297.0</v>
      </c>
      <c r="K45" s="9" t="str">
        <f t="shared" si="1"/>
        <v/>
      </c>
      <c r="L45" s="9">
        <f t="shared" si="2"/>
        <v>11991779.29</v>
      </c>
    </row>
    <row r="46" ht="15.75" customHeight="1">
      <c r="A46" s="3" t="s">
        <v>66</v>
      </c>
      <c r="B46" s="3">
        <v>2021.0</v>
      </c>
      <c r="C46" s="3" t="s">
        <v>61</v>
      </c>
      <c r="D46" s="8">
        <v>228244.0</v>
      </c>
      <c r="E46" s="7"/>
      <c r="F46" s="3"/>
      <c r="G46" s="7"/>
      <c r="H46" s="3" t="s">
        <v>56</v>
      </c>
      <c r="I46" s="8">
        <v>1.06275834E7</v>
      </c>
      <c r="J46" s="8">
        <v>657123.0</v>
      </c>
      <c r="K46" s="9" t="str">
        <f t="shared" si="1"/>
        <v/>
      </c>
      <c r="L46" s="9">
        <f t="shared" si="2"/>
        <v>16172898.22</v>
      </c>
    </row>
    <row r="47" ht="15.75" customHeight="1">
      <c r="A47" s="3" t="s">
        <v>66</v>
      </c>
      <c r="B47" s="3">
        <v>2022.0</v>
      </c>
      <c r="C47" s="3" t="s">
        <v>61</v>
      </c>
      <c r="D47" s="8">
        <v>269234.0</v>
      </c>
      <c r="E47" s="7"/>
      <c r="F47" s="3"/>
      <c r="G47" s="8">
        <v>4.8</v>
      </c>
      <c r="H47" s="3" t="s">
        <v>57</v>
      </c>
      <c r="I47" s="8">
        <v>1.37253998E7</v>
      </c>
      <c r="J47" s="8">
        <v>681241.0</v>
      </c>
      <c r="K47" s="9" t="str">
        <f t="shared" si="1"/>
        <v/>
      </c>
      <c r="L47" s="9">
        <f t="shared" si="2"/>
        <v>20147642.02</v>
      </c>
    </row>
    <row r="48" ht="15.75" customHeight="1">
      <c r="A48" s="3" t="s">
        <v>66</v>
      </c>
      <c r="B48" s="3">
        <v>2023.0</v>
      </c>
      <c r="C48" s="3" t="s">
        <v>61</v>
      </c>
      <c r="D48" s="8">
        <v>322365.0</v>
      </c>
      <c r="E48" s="8">
        <v>136.614285714286</v>
      </c>
      <c r="F48" s="3">
        <v>7.0</v>
      </c>
      <c r="G48" s="8">
        <v>4.85</v>
      </c>
      <c r="H48" s="3" t="s">
        <v>58</v>
      </c>
      <c r="I48" s="8">
        <v>1.52377216E7</v>
      </c>
      <c r="J48" s="8">
        <v>693079.0</v>
      </c>
      <c r="K48" s="9">
        <f t="shared" si="1"/>
        <v>235967.2697</v>
      </c>
      <c r="L48" s="9">
        <f t="shared" si="2"/>
        <v>21985547.97</v>
      </c>
    </row>
    <row r="49" ht="15.75" customHeight="1">
      <c r="A49" s="3" t="s">
        <v>66</v>
      </c>
      <c r="B49" s="3">
        <v>2024.0</v>
      </c>
      <c r="C49" s="3" t="s">
        <v>61</v>
      </c>
      <c r="D49" s="8">
        <v>338890.0</v>
      </c>
      <c r="E49" s="8">
        <v>148.945454545455</v>
      </c>
      <c r="F49" s="3">
        <v>11.0</v>
      </c>
      <c r="G49" s="8">
        <v>4.9</v>
      </c>
      <c r="H49" s="3" t="s">
        <v>59</v>
      </c>
      <c r="I49" s="8">
        <v>1.49815863E7</v>
      </c>
      <c r="J49" s="8">
        <v>704074.0</v>
      </c>
      <c r="K49" s="9">
        <f t="shared" si="1"/>
        <v>227526.2451</v>
      </c>
      <c r="L49" s="9">
        <f t="shared" si="2"/>
        <v>21278425.71</v>
      </c>
    </row>
    <row r="50" ht="15.75" customHeight="1">
      <c r="A50" s="3" t="s">
        <v>66</v>
      </c>
      <c r="B50" s="3">
        <v>2025.0</v>
      </c>
      <c r="C50" s="3" t="s">
        <v>61</v>
      </c>
      <c r="D50" s="8">
        <v>367936.0</v>
      </c>
      <c r="E50" s="8">
        <v>165.908333333333</v>
      </c>
      <c r="F50" s="3">
        <v>12.0</v>
      </c>
      <c r="G50" s="7"/>
      <c r="H50" s="3" t="s">
        <v>56</v>
      </c>
      <c r="I50" s="8">
        <v>1.66456788E7</v>
      </c>
      <c r="J50" s="8">
        <v>710781.0</v>
      </c>
      <c r="K50" s="9">
        <f t="shared" si="1"/>
        <v>221770.6565</v>
      </c>
      <c r="L50" s="9">
        <f t="shared" si="2"/>
        <v>23418857.29</v>
      </c>
    </row>
    <row r="51" ht="15.75" customHeight="1">
      <c r="A51" s="3" t="s">
        <v>67</v>
      </c>
      <c r="B51" s="3">
        <v>2019.0</v>
      </c>
      <c r="C51" s="3" t="s">
        <v>61</v>
      </c>
      <c r="D51" s="8">
        <v>96944.0</v>
      </c>
      <c r="E51" s="7"/>
      <c r="F51" s="3"/>
      <c r="G51" s="7"/>
      <c r="H51" s="3" t="s">
        <v>56</v>
      </c>
      <c r="I51" s="8">
        <v>2946389.1</v>
      </c>
      <c r="J51" s="8">
        <v>652145.0</v>
      </c>
      <c r="K51" s="9" t="str">
        <f t="shared" si="1"/>
        <v/>
      </c>
      <c r="L51" s="9">
        <f t="shared" si="2"/>
        <v>4517996.918</v>
      </c>
    </row>
    <row r="52" ht="15.75" customHeight="1">
      <c r="A52" s="3" t="s">
        <v>67</v>
      </c>
      <c r="B52" s="3">
        <v>2020.0</v>
      </c>
      <c r="C52" s="3" t="s">
        <v>61</v>
      </c>
      <c r="D52" s="8">
        <v>125081.0</v>
      </c>
      <c r="E52" s="7"/>
      <c r="F52" s="3"/>
      <c r="G52" s="7"/>
      <c r="H52" s="3" t="s">
        <v>56</v>
      </c>
      <c r="I52" s="8">
        <v>2735953.1</v>
      </c>
      <c r="J52" s="8">
        <v>656661.0</v>
      </c>
      <c r="K52" s="9" t="str">
        <f t="shared" si="1"/>
        <v/>
      </c>
      <c r="L52" s="9">
        <f t="shared" si="2"/>
        <v>4166461.995</v>
      </c>
    </row>
    <row r="53" ht="15.75" customHeight="1">
      <c r="A53" s="3" t="s">
        <v>67</v>
      </c>
      <c r="B53" s="3">
        <v>2021.0</v>
      </c>
      <c r="C53" s="3" t="s">
        <v>61</v>
      </c>
      <c r="D53" s="8">
        <v>149121.0</v>
      </c>
      <c r="E53" s="7"/>
      <c r="F53" s="3"/>
      <c r="G53" s="7"/>
      <c r="H53" s="3" t="s">
        <v>56</v>
      </c>
      <c r="I53" s="8">
        <v>3533014.4</v>
      </c>
      <c r="J53" s="8">
        <v>661146.0</v>
      </c>
      <c r="K53" s="9" t="str">
        <f t="shared" si="1"/>
        <v/>
      </c>
      <c r="L53" s="9">
        <f t="shared" si="2"/>
        <v>5343773.387</v>
      </c>
    </row>
    <row r="54" ht="15.75" customHeight="1">
      <c r="A54" s="3" t="s">
        <v>67</v>
      </c>
      <c r="B54" s="3">
        <v>2022.0</v>
      </c>
      <c r="C54" s="3" t="s">
        <v>61</v>
      </c>
      <c r="D54" s="8">
        <v>184607.0</v>
      </c>
      <c r="E54" s="7"/>
      <c r="F54" s="3"/>
      <c r="G54" s="8">
        <v>5.0</v>
      </c>
      <c r="H54" s="3" t="s">
        <v>57</v>
      </c>
      <c r="I54" s="8">
        <v>4435130.6</v>
      </c>
      <c r="J54" s="8">
        <v>683327.0</v>
      </c>
      <c r="K54" s="9" t="str">
        <f t="shared" si="1"/>
        <v/>
      </c>
      <c r="L54" s="9">
        <f t="shared" si="2"/>
        <v>6490495.18</v>
      </c>
    </row>
    <row r="55" ht="15.75" customHeight="1">
      <c r="A55" s="3" t="s">
        <v>67</v>
      </c>
      <c r="B55" s="3">
        <v>2023.0</v>
      </c>
      <c r="C55" s="3" t="s">
        <v>61</v>
      </c>
      <c r="D55" s="8">
        <v>222094.0</v>
      </c>
      <c r="E55" s="8">
        <v>137.3</v>
      </c>
      <c r="F55" s="3">
        <v>7.0</v>
      </c>
      <c r="G55" s="8">
        <v>4.85</v>
      </c>
      <c r="H55" s="3" t="s">
        <v>58</v>
      </c>
      <c r="I55" s="8">
        <v>5014788.3</v>
      </c>
      <c r="J55" s="8">
        <v>688127.0</v>
      </c>
      <c r="K55" s="9">
        <f t="shared" si="1"/>
        <v>161758.1937</v>
      </c>
      <c r="L55" s="9">
        <f t="shared" si="2"/>
        <v>7287591.244</v>
      </c>
    </row>
    <row r="56" ht="15.75" customHeight="1">
      <c r="A56" s="3" t="s">
        <v>67</v>
      </c>
      <c r="B56" s="3">
        <v>2024.0</v>
      </c>
      <c r="C56" s="3" t="s">
        <v>61</v>
      </c>
      <c r="D56" s="8">
        <v>252861.0</v>
      </c>
      <c r="E56" s="8">
        <v>149.290909090909</v>
      </c>
      <c r="F56" s="3">
        <v>11.0</v>
      </c>
      <c r="G56" s="8">
        <v>4.8</v>
      </c>
      <c r="H56" s="3" t="s">
        <v>59</v>
      </c>
      <c r="I56" s="8">
        <v>4722419.0</v>
      </c>
      <c r="J56" s="8">
        <v>693262.0</v>
      </c>
      <c r="K56" s="9">
        <f t="shared" si="1"/>
        <v>169374.6803</v>
      </c>
      <c r="L56" s="9">
        <f t="shared" si="2"/>
        <v>6811882.088</v>
      </c>
    </row>
    <row r="57" ht="15.75" customHeight="1">
      <c r="A57" s="3" t="s">
        <v>67</v>
      </c>
      <c r="B57" s="3">
        <v>2025.0</v>
      </c>
      <c r="C57" s="3" t="s">
        <v>61</v>
      </c>
      <c r="D57" s="8">
        <v>272988.0</v>
      </c>
      <c r="E57" s="8">
        <v>166.358333333333</v>
      </c>
      <c r="F57" s="3">
        <v>12.0</v>
      </c>
      <c r="G57" s="7"/>
      <c r="H57" s="3" t="s">
        <v>56</v>
      </c>
      <c r="I57" s="8">
        <v>4984664.0</v>
      </c>
      <c r="J57" s="8">
        <v>695988.0</v>
      </c>
      <c r="K57" s="9">
        <f t="shared" si="1"/>
        <v>164096.3783</v>
      </c>
      <c r="L57" s="9">
        <f t="shared" si="2"/>
        <v>7161997.046</v>
      </c>
    </row>
    <row r="58" ht="15.75" customHeight="1">
      <c r="A58" s="3" t="s">
        <v>68</v>
      </c>
      <c r="B58" s="3">
        <v>2019.0</v>
      </c>
      <c r="C58" s="3" t="s">
        <v>61</v>
      </c>
      <c r="D58" s="8">
        <v>116536.0</v>
      </c>
      <c r="E58" s="7"/>
      <c r="F58" s="3"/>
      <c r="G58" s="7"/>
      <c r="H58" s="3" t="s">
        <v>56</v>
      </c>
      <c r="I58" s="8">
        <v>5388260.6</v>
      </c>
      <c r="J58" s="8">
        <v>1151172.0</v>
      </c>
      <c r="K58" s="9" t="str">
        <f t="shared" si="1"/>
        <v/>
      </c>
      <c r="L58" s="9">
        <f t="shared" si="2"/>
        <v>4680673.783</v>
      </c>
    </row>
    <row r="59" ht="15.75" customHeight="1">
      <c r="A59" s="3" t="s">
        <v>68</v>
      </c>
      <c r="B59" s="3">
        <v>2020.0</v>
      </c>
      <c r="C59" s="3" t="s">
        <v>61</v>
      </c>
      <c r="D59" s="8">
        <v>145858.0</v>
      </c>
      <c r="E59" s="7"/>
      <c r="F59" s="3"/>
      <c r="G59" s="7"/>
      <c r="H59" s="3" t="s">
        <v>56</v>
      </c>
      <c r="I59" s="8">
        <v>6099856.2</v>
      </c>
      <c r="J59" s="8">
        <v>1149096.0</v>
      </c>
      <c r="K59" s="9" t="str">
        <f t="shared" si="1"/>
        <v/>
      </c>
      <c r="L59" s="9">
        <f t="shared" si="2"/>
        <v>5308395.643</v>
      </c>
    </row>
    <row r="60" ht="15.75" customHeight="1">
      <c r="A60" s="3" t="s">
        <v>68</v>
      </c>
      <c r="B60" s="3">
        <v>2021.0</v>
      </c>
      <c r="C60" s="3" t="s">
        <v>61</v>
      </c>
      <c r="D60" s="8">
        <v>166643.0</v>
      </c>
      <c r="E60" s="7"/>
      <c r="F60" s="3"/>
      <c r="G60" s="7"/>
      <c r="H60" s="3" t="s">
        <v>56</v>
      </c>
      <c r="I60" s="8">
        <v>6069356.6</v>
      </c>
      <c r="J60" s="8">
        <v>1148199.0</v>
      </c>
      <c r="K60" s="9" t="str">
        <f t="shared" si="1"/>
        <v/>
      </c>
      <c r="L60" s="9">
        <f t="shared" si="2"/>
        <v>5285979.695</v>
      </c>
    </row>
    <row r="61" ht="15.75" customHeight="1">
      <c r="A61" s="3" t="s">
        <v>68</v>
      </c>
      <c r="B61" s="3">
        <v>2022.0</v>
      </c>
      <c r="C61" s="3" t="s">
        <v>61</v>
      </c>
      <c r="D61" s="8">
        <v>213507.0</v>
      </c>
      <c r="E61" s="7"/>
      <c r="F61" s="3"/>
      <c r="G61" s="8">
        <v>4.4</v>
      </c>
      <c r="H61" s="3" t="s">
        <v>57</v>
      </c>
      <c r="I61" s="8">
        <v>7278059.2</v>
      </c>
      <c r="J61" s="8">
        <v>1134966.0</v>
      </c>
      <c r="K61" s="9" t="str">
        <f t="shared" si="1"/>
        <v/>
      </c>
      <c r="L61" s="9">
        <f t="shared" si="2"/>
        <v>6412579.055</v>
      </c>
    </row>
    <row r="62" ht="15.75" customHeight="1">
      <c r="A62" s="3" t="s">
        <v>68</v>
      </c>
      <c r="B62" s="3">
        <v>2023.0</v>
      </c>
      <c r="C62" s="3" t="s">
        <v>61</v>
      </c>
      <c r="D62" s="8">
        <v>269939.0</v>
      </c>
      <c r="E62" s="8">
        <v>139.514285714286</v>
      </c>
      <c r="F62" s="3">
        <v>7.0</v>
      </c>
      <c r="G62" s="8">
        <v>4.15</v>
      </c>
      <c r="H62" s="3" t="s">
        <v>58</v>
      </c>
      <c r="I62" s="8">
        <v>7711828.2</v>
      </c>
      <c r="J62" s="8">
        <v>1134855.0</v>
      </c>
      <c r="K62" s="9">
        <f t="shared" si="1"/>
        <v>193484.8454</v>
      </c>
      <c r="L62" s="9">
        <f t="shared" si="2"/>
        <v>6795430.429</v>
      </c>
    </row>
    <row r="63" ht="15.75" customHeight="1">
      <c r="A63" s="3" t="s">
        <v>68</v>
      </c>
      <c r="B63" s="3">
        <v>2024.0</v>
      </c>
      <c r="C63" s="3" t="s">
        <v>61</v>
      </c>
      <c r="D63" s="8">
        <v>306004.0</v>
      </c>
      <c r="E63" s="8">
        <v>153.245454545455</v>
      </c>
      <c r="F63" s="3">
        <v>11.0</v>
      </c>
      <c r="G63" s="8">
        <v>4.13333333333333</v>
      </c>
      <c r="H63" s="3" t="s">
        <v>59</v>
      </c>
      <c r="I63" s="8">
        <v>9059477.4</v>
      </c>
      <c r="J63" s="8">
        <v>1135351.0</v>
      </c>
      <c r="K63" s="9">
        <f t="shared" si="1"/>
        <v>199682.2685</v>
      </c>
      <c r="L63" s="9">
        <f t="shared" si="2"/>
        <v>7979450.76</v>
      </c>
    </row>
    <row r="64" ht="15.75" customHeight="1">
      <c r="A64" s="3" t="s">
        <v>68</v>
      </c>
      <c r="B64" s="3">
        <v>2025.0</v>
      </c>
      <c r="C64" s="3" t="s">
        <v>61</v>
      </c>
      <c r="D64" s="8">
        <v>332680.0</v>
      </c>
      <c r="E64" s="8">
        <v>172.65</v>
      </c>
      <c r="F64" s="3">
        <v>12.0</v>
      </c>
      <c r="G64" s="7"/>
      <c r="H64" s="3" t="s">
        <v>56</v>
      </c>
      <c r="I64" s="8">
        <v>1.03673462E7</v>
      </c>
      <c r="J64" s="8">
        <v>1133933.0</v>
      </c>
      <c r="K64" s="9">
        <f t="shared" si="1"/>
        <v>192690.4141</v>
      </c>
      <c r="L64" s="9">
        <f t="shared" si="2"/>
        <v>9142820.784</v>
      </c>
    </row>
    <row r="65" ht="15.75" customHeight="1">
      <c r="A65" s="3" t="s">
        <v>69</v>
      </c>
      <c r="B65" s="3">
        <v>2019.0</v>
      </c>
      <c r="C65" s="3" t="s">
        <v>61</v>
      </c>
      <c r="D65" s="8">
        <v>104861.0</v>
      </c>
      <c r="E65" s="7"/>
      <c r="F65" s="3"/>
      <c r="G65" s="7"/>
      <c r="H65" s="3" t="s">
        <v>56</v>
      </c>
      <c r="I65" s="8">
        <v>2451736.4</v>
      </c>
      <c r="J65" s="8">
        <v>872110.0</v>
      </c>
      <c r="K65" s="9" t="str">
        <f t="shared" si="1"/>
        <v/>
      </c>
      <c r="L65" s="9">
        <f t="shared" si="2"/>
        <v>2811269.679</v>
      </c>
    </row>
    <row r="66" ht="15.75" customHeight="1">
      <c r="A66" s="3" t="s">
        <v>69</v>
      </c>
      <c r="B66" s="3">
        <v>2020.0</v>
      </c>
      <c r="C66" s="3" t="s">
        <v>61</v>
      </c>
      <c r="D66" s="8">
        <v>130612.0</v>
      </c>
      <c r="E66" s="7"/>
      <c r="F66" s="3"/>
      <c r="G66" s="7"/>
      <c r="H66" s="3" t="s">
        <v>56</v>
      </c>
      <c r="I66" s="8">
        <v>2872209.6</v>
      </c>
      <c r="J66" s="8">
        <v>867870.0</v>
      </c>
      <c r="K66" s="9" t="str">
        <f t="shared" si="1"/>
        <v/>
      </c>
      <c r="L66" s="9">
        <f t="shared" si="2"/>
        <v>3309492.896</v>
      </c>
    </row>
    <row r="67" ht="15.75" customHeight="1">
      <c r="A67" s="3" t="s">
        <v>69</v>
      </c>
      <c r="B67" s="3">
        <v>2021.0</v>
      </c>
      <c r="C67" s="3" t="s">
        <v>61</v>
      </c>
      <c r="D67" s="8">
        <v>145003.0</v>
      </c>
      <c r="E67" s="7"/>
      <c r="F67" s="3"/>
      <c r="G67" s="7"/>
      <c r="H67" s="3" t="s">
        <v>56</v>
      </c>
      <c r="I67" s="8">
        <v>3516221.0</v>
      </c>
      <c r="J67" s="8">
        <v>863894.0</v>
      </c>
      <c r="K67" s="9" t="str">
        <f t="shared" si="1"/>
        <v/>
      </c>
      <c r="L67" s="9">
        <f t="shared" si="2"/>
        <v>4070199.585</v>
      </c>
    </row>
    <row r="68" ht="15.75" customHeight="1">
      <c r="A68" s="3" t="s">
        <v>69</v>
      </c>
      <c r="B68" s="3">
        <v>2022.0</v>
      </c>
      <c r="C68" s="3" t="s">
        <v>61</v>
      </c>
      <c r="D68" s="8">
        <v>189033.0</v>
      </c>
      <c r="E68" s="7"/>
      <c r="F68" s="3"/>
      <c r="G68" s="8">
        <v>4.9</v>
      </c>
      <c r="H68" s="3" t="s">
        <v>57</v>
      </c>
      <c r="I68" s="8">
        <v>4182077.8</v>
      </c>
      <c r="J68" s="8">
        <v>835686.0</v>
      </c>
      <c r="K68" s="9" t="str">
        <f t="shared" si="1"/>
        <v/>
      </c>
      <c r="L68" s="9">
        <f t="shared" si="2"/>
        <v>5004365.037</v>
      </c>
    </row>
    <row r="69" ht="15.75" customHeight="1">
      <c r="A69" s="3" t="s">
        <v>69</v>
      </c>
      <c r="B69" s="3">
        <v>2023.0</v>
      </c>
      <c r="C69" s="3" t="s">
        <v>61</v>
      </c>
      <c r="D69" s="8">
        <v>232048.0</v>
      </c>
      <c r="E69" s="8">
        <v>137.328571428571</v>
      </c>
      <c r="F69" s="3">
        <v>7.0</v>
      </c>
      <c r="G69" s="8">
        <v>4.75</v>
      </c>
      <c r="H69" s="3" t="s">
        <v>58</v>
      </c>
      <c r="I69" s="8">
        <v>4436636.1</v>
      </c>
      <c r="J69" s="8">
        <v>832234.0</v>
      </c>
      <c r="K69" s="9">
        <f t="shared" si="1"/>
        <v>168972.8493</v>
      </c>
      <c r="L69" s="9">
        <f t="shared" si="2"/>
        <v>5330995.97</v>
      </c>
    </row>
    <row r="70" ht="15.75" customHeight="1">
      <c r="A70" s="3" t="s">
        <v>69</v>
      </c>
      <c r="B70" s="3">
        <v>2024.0</v>
      </c>
      <c r="C70" s="3" t="s">
        <v>61</v>
      </c>
      <c r="D70" s="8">
        <v>260936.0</v>
      </c>
      <c r="E70" s="8">
        <v>148.409090909091</v>
      </c>
      <c r="F70" s="3">
        <v>11.0</v>
      </c>
      <c r="G70" s="8">
        <v>4.63333333333333</v>
      </c>
      <c r="H70" s="3" t="s">
        <v>59</v>
      </c>
      <c r="I70" s="8">
        <v>4969559.1</v>
      </c>
      <c r="J70" s="8">
        <v>829984.0</v>
      </c>
      <c r="K70" s="9">
        <f t="shared" si="1"/>
        <v>175822.1133</v>
      </c>
      <c r="L70" s="9">
        <f t="shared" si="2"/>
        <v>5987536.025</v>
      </c>
    </row>
    <row r="71" ht="15.75" customHeight="1">
      <c r="A71" s="3" t="s">
        <v>69</v>
      </c>
      <c r="B71" s="3">
        <v>2025.0</v>
      </c>
      <c r="C71" s="3" t="s">
        <v>61</v>
      </c>
      <c r="D71" s="8">
        <v>299870.0</v>
      </c>
      <c r="E71" s="8">
        <v>163.55</v>
      </c>
      <c r="F71" s="3">
        <v>12.0</v>
      </c>
      <c r="G71" s="7"/>
      <c r="H71" s="3" t="s">
        <v>56</v>
      </c>
      <c r="I71" s="8">
        <v>6080972.0</v>
      </c>
      <c r="J71" s="8">
        <v>825569.0</v>
      </c>
      <c r="K71" s="9">
        <f t="shared" si="1"/>
        <v>183350.6573</v>
      </c>
      <c r="L71" s="9">
        <f t="shared" si="2"/>
        <v>7365794.985</v>
      </c>
    </row>
    <row r="72" ht="15.75" customHeight="1">
      <c r="A72" s="3" t="s">
        <v>70</v>
      </c>
      <c r="B72" s="3">
        <v>2019.0</v>
      </c>
      <c r="C72" s="3" t="s">
        <v>61</v>
      </c>
      <c r="D72" s="8">
        <v>97281.0</v>
      </c>
      <c r="E72" s="7"/>
      <c r="F72" s="3"/>
      <c r="G72" s="7"/>
      <c r="H72" s="3" t="s">
        <v>56</v>
      </c>
      <c r="I72" s="8">
        <v>1828864.7</v>
      </c>
      <c r="J72" s="8">
        <v>793621.0</v>
      </c>
      <c r="K72" s="9" t="str">
        <f t="shared" si="1"/>
        <v/>
      </c>
      <c r="L72" s="9">
        <f t="shared" si="2"/>
        <v>2304456.031</v>
      </c>
    </row>
    <row r="73" ht="15.75" customHeight="1">
      <c r="A73" s="3" t="s">
        <v>70</v>
      </c>
      <c r="B73" s="3">
        <v>2020.0</v>
      </c>
      <c r="C73" s="3" t="s">
        <v>61</v>
      </c>
      <c r="D73" s="8">
        <v>126696.0</v>
      </c>
      <c r="E73" s="7"/>
      <c r="F73" s="3"/>
      <c r="G73" s="7"/>
      <c r="H73" s="3" t="s">
        <v>56</v>
      </c>
      <c r="I73" s="8">
        <v>1645067.2</v>
      </c>
      <c r="J73" s="8">
        <v>802835.0</v>
      </c>
      <c r="K73" s="9" t="str">
        <f t="shared" si="1"/>
        <v/>
      </c>
      <c r="L73" s="9">
        <f t="shared" si="2"/>
        <v>2049072.599</v>
      </c>
    </row>
    <row r="74" ht="15.75" customHeight="1">
      <c r="A74" s="3" t="s">
        <v>70</v>
      </c>
      <c r="B74" s="3">
        <v>2021.0</v>
      </c>
      <c r="C74" s="3" t="s">
        <v>61</v>
      </c>
      <c r="D74" s="8">
        <v>146665.0</v>
      </c>
      <c r="E74" s="7"/>
      <c r="F74" s="3"/>
      <c r="G74" s="7"/>
      <c r="H74" s="3" t="s">
        <v>56</v>
      </c>
      <c r="I74" s="8">
        <v>1926000.2</v>
      </c>
      <c r="J74" s="8">
        <v>813899.0</v>
      </c>
      <c r="K74" s="9" t="str">
        <f t="shared" si="1"/>
        <v/>
      </c>
      <c r="L74" s="9">
        <f t="shared" si="2"/>
        <v>2366387.23</v>
      </c>
    </row>
    <row r="75" ht="15.75" customHeight="1">
      <c r="A75" s="3" t="s">
        <v>70</v>
      </c>
      <c r="B75" s="3">
        <v>2022.0</v>
      </c>
      <c r="C75" s="3" t="s">
        <v>61</v>
      </c>
      <c r="D75" s="8">
        <v>184458.0</v>
      </c>
      <c r="E75" s="7"/>
      <c r="F75" s="3"/>
      <c r="G75" s="8">
        <v>4.9</v>
      </c>
      <c r="H75" s="3" t="s">
        <v>57</v>
      </c>
      <c r="I75" s="8">
        <v>2417399.0</v>
      </c>
      <c r="J75" s="8">
        <v>823251.0</v>
      </c>
      <c r="K75" s="9" t="str">
        <f t="shared" si="1"/>
        <v/>
      </c>
      <c r="L75" s="9">
        <f t="shared" si="2"/>
        <v>2936405.786</v>
      </c>
    </row>
    <row r="76" ht="15.75" customHeight="1">
      <c r="A76" s="3" t="s">
        <v>70</v>
      </c>
      <c r="B76" s="3">
        <v>2023.0</v>
      </c>
      <c r="C76" s="3" t="s">
        <v>61</v>
      </c>
      <c r="D76" s="8">
        <v>233236.0</v>
      </c>
      <c r="E76" s="8">
        <v>136.785714285714</v>
      </c>
      <c r="F76" s="3">
        <v>7.0</v>
      </c>
      <c r="G76" s="8">
        <v>4.875</v>
      </c>
      <c r="H76" s="3" t="s">
        <v>58</v>
      </c>
      <c r="I76" s="8">
        <v>2573511.3</v>
      </c>
      <c r="J76" s="8">
        <v>833666.0</v>
      </c>
      <c r="K76" s="9">
        <f t="shared" si="1"/>
        <v>170511.9582</v>
      </c>
      <c r="L76" s="9">
        <f t="shared" si="2"/>
        <v>3086981.237</v>
      </c>
    </row>
    <row r="77" ht="15.75" customHeight="1">
      <c r="A77" s="3" t="s">
        <v>70</v>
      </c>
      <c r="B77" s="3">
        <v>2024.0</v>
      </c>
      <c r="C77" s="3" t="s">
        <v>61</v>
      </c>
      <c r="D77" s="8">
        <v>259472.0</v>
      </c>
      <c r="E77" s="8">
        <v>147.736363636364</v>
      </c>
      <c r="F77" s="3">
        <v>11.0</v>
      </c>
      <c r="G77" s="8">
        <v>4.86666666666667</v>
      </c>
      <c r="H77" s="3" t="s">
        <v>59</v>
      </c>
      <c r="I77" s="8">
        <v>3073851.3</v>
      </c>
      <c r="J77" s="8">
        <v>841931.0</v>
      </c>
      <c r="K77" s="9">
        <f t="shared" si="1"/>
        <v>175631.7765</v>
      </c>
      <c r="L77" s="9">
        <f t="shared" si="2"/>
        <v>3650953.938</v>
      </c>
    </row>
    <row r="78" ht="15.75" customHeight="1">
      <c r="A78" s="3" t="s">
        <v>70</v>
      </c>
      <c r="B78" s="3">
        <v>2025.0</v>
      </c>
      <c r="C78" s="3" t="s">
        <v>61</v>
      </c>
      <c r="D78" s="8">
        <v>295704.0</v>
      </c>
      <c r="E78" s="8">
        <v>162.783333333333</v>
      </c>
      <c r="F78" s="3">
        <v>12.0</v>
      </c>
      <c r="G78" s="7"/>
      <c r="H78" s="3" t="s">
        <v>56</v>
      </c>
      <c r="I78" s="8">
        <v>3051041.2</v>
      </c>
      <c r="J78" s="8">
        <v>846104.0</v>
      </c>
      <c r="K78" s="9">
        <f t="shared" si="1"/>
        <v>181654.9606</v>
      </c>
      <c r="L78" s="9">
        <f t="shared" si="2"/>
        <v>3605988.389</v>
      </c>
    </row>
    <row r="79" ht="15.75" customHeight="1">
      <c r="A79" s="3" t="s">
        <v>71</v>
      </c>
      <c r="B79" s="3">
        <v>2019.0</v>
      </c>
      <c r="C79" s="3" t="s">
        <v>61</v>
      </c>
      <c r="D79" s="8">
        <v>148063.0</v>
      </c>
      <c r="E79" s="7"/>
      <c r="F79" s="3"/>
      <c r="G79" s="7"/>
      <c r="H79" s="3" t="s">
        <v>56</v>
      </c>
      <c r="I79" s="8">
        <v>3685383.5</v>
      </c>
      <c r="J79" s="8">
        <v>678766.0</v>
      </c>
      <c r="K79" s="9" t="str">
        <f t="shared" si="1"/>
        <v/>
      </c>
      <c r="L79" s="9">
        <f t="shared" si="2"/>
        <v>5429534.626</v>
      </c>
    </row>
    <row r="80" ht="15.75" customHeight="1">
      <c r="A80" s="3" t="s">
        <v>71</v>
      </c>
      <c r="B80" s="3">
        <v>2020.0</v>
      </c>
      <c r="C80" s="3" t="s">
        <v>61</v>
      </c>
      <c r="D80" s="8">
        <v>176112.0</v>
      </c>
      <c r="E80" s="7"/>
      <c r="F80" s="3"/>
      <c r="G80" s="7"/>
      <c r="H80" s="3" t="s">
        <v>56</v>
      </c>
      <c r="I80" s="8">
        <v>3074392.9</v>
      </c>
      <c r="J80" s="8">
        <v>699343.0</v>
      </c>
      <c r="K80" s="9" t="str">
        <f t="shared" si="1"/>
        <v/>
      </c>
      <c r="L80" s="9">
        <f t="shared" si="2"/>
        <v>4396115.926</v>
      </c>
    </row>
    <row r="81" ht="15.75" customHeight="1">
      <c r="A81" s="3" t="s">
        <v>71</v>
      </c>
      <c r="B81" s="3">
        <v>2021.0</v>
      </c>
      <c r="C81" s="3" t="s">
        <v>61</v>
      </c>
      <c r="D81" s="8">
        <v>192123.0</v>
      </c>
      <c r="E81" s="7"/>
      <c r="F81" s="3"/>
      <c r="G81" s="7"/>
      <c r="H81" s="3" t="s">
        <v>56</v>
      </c>
      <c r="I81" s="8">
        <v>3627008.1</v>
      </c>
      <c r="J81" s="8">
        <v>720137.0</v>
      </c>
      <c r="K81" s="9" t="str">
        <f t="shared" si="1"/>
        <v/>
      </c>
      <c r="L81" s="9">
        <f t="shared" si="2"/>
        <v>5036552.906</v>
      </c>
    </row>
    <row r="82" ht="15.75" customHeight="1">
      <c r="A82" s="3" t="s">
        <v>71</v>
      </c>
      <c r="B82" s="3">
        <v>2022.0</v>
      </c>
      <c r="C82" s="3" t="s">
        <v>61</v>
      </c>
      <c r="D82" s="8">
        <v>257658.0</v>
      </c>
      <c r="E82" s="7"/>
      <c r="F82" s="3"/>
      <c r="G82" s="8">
        <v>5.1</v>
      </c>
      <c r="H82" s="3" t="s">
        <v>57</v>
      </c>
      <c r="I82" s="8">
        <v>4401192.9</v>
      </c>
      <c r="J82" s="8">
        <v>745909.0</v>
      </c>
      <c r="K82" s="9" t="str">
        <f t="shared" si="1"/>
        <v/>
      </c>
      <c r="L82" s="9">
        <f t="shared" si="2"/>
        <v>5900442.145</v>
      </c>
    </row>
    <row r="83" ht="15.75" customHeight="1">
      <c r="A83" s="3" t="s">
        <v>71</v>
      </c>
      <c r="B83" s="3">
        <v>2023.0</v>
      </c>
      <c r="C83" s="3" t="s">
        <v>61</v>
      </c>
      <c r="D83" s="8">
        <v>323778.0</v>
      </c>
      <c r="E83" s="8">
        <v>143.514285714286</v>
      </c>
      <c r="F83" s="3">
        <v>7.0</v>
      </c>
      <c r="G83" s="8">
        <v>5.025</v>
      </c>
      <c r="H83" s="3" t="s">
        <v>58</v>
      </c>
      <c r="I83" s="8">
        <v>4798701.0</v>
      </c>
      <c r="J83" s="8">
        <v>767106.0</v>
      </c>
      <c r="K83" s="9">
        <f t="shared" si="1"/>
        <v>225606.8087</v>
      </c>
      <c r="L83" s="9">
        <f t="shared" si="2"/>
        <v>6255590.492</v>
      </c>
    </row>
    <row r="84" ht="15.75" customHeight="1">
      <c r="A84" s="3" t="s">
        <v>71</v>
      </c>
      <c r="B84" s="3">
        <v>2024.0</v>
      </c>
      <c r="C84" s="3" t="s">
        <v>61</v>
      </c>
      <c r="D84" s="8">
        <v>350314.0</v>
      </c>
      <c r="E84" s="8">
        <v>157.9</v>
      </c>
      <c r="F84" s="3">
        <v>11.0</v>
      </c>
      <c r="G84" s="8">
        <v>4.96666666666667</v>
      </c>
      <c r="H84" s="3" t="s">
        <v>59</v>
      </c>
      <c r="I84" s="8">
        <v>5005139.0</v>
      </c>
      <c r="J84" s="8">
        <v>786841.0</v>
      </c>
      <c r="K84" s="9">
        <f t="shared" si="1"/>
        <v>221858.1381</v>
      </c>
      <c r="L84" s="9">
        <f t="shared" si="2"/>
        <v>6361055.156</v>
      </c>
    </row>
    <row r="85" ht="15.75" customHeight="1">
      <c r="A85" s="3" t="s">
        <v>71</v>
      </c>
      <c r="B85" s="3">
        <v>2025.0</v>
      </c>
      <c r="C85" s="3" t="s">
        <v>61</v>
      </c>
      <c r="D85" s="8">
        <v>374050.0</v>
      </c>
      <c r="E85" s="8">
        <v>174.166666666667</v>
      </c>
      <c r="F85" s="3">
        <v>12.0</v>
      </c>
      <c r="G85" s="7"/>
      <c r="H85" s="3" t="s">
        <v>56</v>
      </c>
      <c r="I85" s="8">
        <v>5541598.9</v>
      </c>
      <c r="J85" s="8">
        <v>805156.0</v>
      </c>
      <c r="K85" s="9">
        <f t="shared" si="1"/>
        <v>214765.5502</v>
      </c>
      <c r="L85" s="9">
        <f t="shared" si="2"/>
        <v>6882640.01</v>
      </c>
    </row>
    <row r="86" ht="15.75" customHeight="1">
      <c r="A86" s="3" t="s">
        <v>72</v>
      </c>
      <c r="B86" s="3">
        <v>2019.0</v>
      </c>
      <c r="C86" s="3" t="s">
        <v>61</v>
      </c>
      <c r="D86" s="8">
        <v>119567.0</v>
      </c>
      <c r="E86" s="7"/>
      <c r="F86" s="3"/>
      <c r="G86" s="7"/>
      <c r="H86" s="3" t="s">
        <v>56</v>
      </c>
      <c r="I86" s="8">
        <v>3029608.9</v>
      </c>
      <c r="J86" s="8">
        <v>753493.0</v>
      </c>
      <c r="K86" s="9" t="str">
        <f t="shared" si="1"/>
        <v/>
      </c>
      <c r="L86" s="9">
        <f t="shared" si="2"/>
        <v>4020752.548</v>
      </c>
    </row>
    <row r="87" ht="15.75" customHeight="1">
      <c r="A87" s="3" t="s">
        <v>72</v>
      </c>
      <c r="B87" s="3">
        <v>2020.0</v>
      </c>
      <c r="C87" s="3" t="s">
        <v>61</v>
      </c>
      <c r="D87" s="8">
        <v>145230.0</v>
      </c>
      <c r="E87" s="7"/>
      <c r="F87" s="3"/>
      <c r="G87" s="7"/>
      <c r="H87" s="3" t="s">
        <v>56</v>
      </c>
      <c r="I87" s="8">
        <v>3120136.9</v>
      </c>
      <c r="J87" s="8">
        <v>751819.0</v>
      </c>
      <c r="K87" s="9" t="str">
        <f t="shared" si="1"/>
        <v/>
      </c>
      <c r="L87" s="9">
        <f t="shared" si="2"/>
        <v>4150117.116</v>
      </c>
    </row>
    <row r="88" ht="15.75" customHeight="1">
      <c r="A88" s="3" t="s">
        <v>72</v>
      </c>
      <c r="B88" s="3">
        <v>2021.0</v>
      </c>
      <c r="C88" s="3" t="s">
        <v>61</v>
      </c>
      <c r="D88" s="8">
        <v>173067.0</v>
      </c>
      <c r="E88" s="7"/>
      <c r="F88" s="3"/>
      <c r="G88" s="7"/>
      <c r="H88" s="3" t="s">
        <v>56</v>
      </c>
      <c r="I88" s="8">
        <v>3883826.6</v>
      </c>
      <c r="J88" s="8">
        <v>750676.0</v>
      </c>
      <c r="K88" s="9" t="str">
        <f t="shared" si="1"/>
        <v/>
      </c>
      <c r="L88" s="9">
        <f t="shared" si="2"/>
        <v>5173772.173</v>
      </c>
    </row>
    <row r="89" ht="15.75" customHeight="1">
      <c r="A89" s="3" t="s">
        <v>72</v>
      </c>
      <c r="B89" s="3">
        <v>2022.0</v>
      </c>
      <c r="C89" s="3" t="s">
        <v>61</v>
      </c>
      <c r="D89" s="8">
        <v>207543.0</v>
      </c>
      <c r="E89" s="7"/>
      <c r="F89" s="3"/>
      <c r="G89" s="8">
        <v>4.8</v>
      </c>
      <c r="H89" s="3" t="s">
        <v>57</v>
      </c>
      <c r="I89" s="8">
        <v>4296923.7</v>
      </c>
      <c r="J89" s="8">
        <v>756511.0</v>
      </c>
      <c r="K89" s="9" t="str">
        <f t="shared" si="1"/>
        <v/>
      </c>
      <c r="L89" s="9">
        <f t="shared" si="2"/>
        <v>5679922.301</v>
      </c>
    </row>
    <row r="90" ht="15.75" customHeight="1">
      <c r="A90" s="3" t="s">
        <v>72</v>
      </c>
      <c r="B90" s="3">
        <v>2023.0</v>
      </c>
      <c r="C90" s="3" t="s">
        <v>61</v>
      </c>
      <c r="D90" s="8">
        <v>261708.0</v>
      </c>
      <c r="E90" s="8">
        <v>137.385714285714</v>
      </c>
      <c r="F90" s="3">
        <v>7.0</v>
      </c>
      <c r="G90" s="8">
        <v>4.775</v>
      </c>
      <c r="H90" s="3" t="s">
        <v>58</v>
      </c>
      <c r="I90" s="8">
        <v>4371041.7</v>
      </c>
      <c r="J90" s="8">
        <v>754944.0</v>
      </c>
      <c r="K90" s="9">
        <f t="shared" si="1"/>
        <v>190491.4214</v>
      </c>
      <c r="L90" s="9">
        <f t="shared" si="2"/>
        <v>5789888.654</v>
      </c>
    </row>
    <row r="91" ht="15.75" customHeight="1">
      <c r="A91" s="3" t="s">
        <v>72</v>
      </c>
      <c r="B91" s="3">
        <v>2024.0</v>
      </c>
      <c r="C91" s="3" t="s">
        <v>61</v>
      </c>
      <c r="D91" s="8">
        <v>306438.0</v>
      </c>
      <c r="E91" s="8">
        <v>149.572727272727</v>
      </c>
      <c r="F91" s="3">
        <v>11.0</v>
      </c>
      <c r="G91" s="8">
        <v>4.73333333333333</v>
      </c>
      <c r="H91" s="3" t="s">
        <v>59</v>
      </c>
      <c r="I91" s="8">
        <v>5150822.2</v>
      </c>
      <c r="J91" s="8">
        <v>753934.0</v>
      </c>
      <c r="K91" s="9">
        <f t="shared" si="1"/>
        <v>204875.585</v>
      </c>
      <c r="L91" s="9">
        <f t="shared" si="2"/>
        <v>6831927.198</v>
      </c>
    </row>
    <row r="92" ht="15.75" customHeight="1">
      <c r="A92" s="3" t="s">
        <v>72</v>
      </c>
      <c r="B92" s="3">
        <v>2025.0</v>
      </c>
      <c r="C92" s="3" t="s">
        <v>61</v>
      </c>
      <c r="D92" s="8">
        <v>341607.0</v>
      </c>
      <c r="E92" s="8">
        <v>164.383333333333</v>
      </c>
      <c r="F92" s="3">
        <v>12.0</v>
      </c>
      <c r="G92" s="7"/>
      <c r="H92" s="3" t="s">
        <v>56</v>
      </c>
      <c r="I92" s="8">
        <v>6357587.1</v>
      </c>
      <c r="J92" s="8">
        <v>751018.0</v>
      </c>
      <c r="K92" s="9">
        <f t="shared" si="1"/>
        <v>207811.2136</v>
      </c>
      <c r="L92" s="9">
        <f t="shared" si="2"/>
        <v>8465292.576</v>
      </c>
    </row>
    <row r="93" ht="15.75" customHeight="1">
      <c r="A93" s="3" t="s">
        <v>73</v>
      </c>
      <c r="B93" s="3">
        <v>2019.0</v>
      </c>
      <c r="C93" s="3" t="s">
        <v>74</v>
      </c>
      <c r="D93" s="8">
        <v>112281.0</v>
      </c>
      <c r="E93" s="7"/>
      <c r="F93" s="3"/>
      <c r="G93" s="7"/>
      <c r="H93" s="3" t="s">
        <v>56</v>
      </c>
      <c r="I93" s="8">
        <v>6.95326265E7</v>
      </c>
      <c r="J93" s="8">
        <v>1.8394642E7</v>
      </c>
      <c r="K93" s="9" t="str">
        <f t="shared" si="1"/>
        <v/>
      </c>
      <c r="L93" s="9">
        <f t="shared" si="2"/>
        <v>3780047.826</v>
      </c>
    </row>
    <row r="94" ht="15.75" customHeight="1">
      <c r="A94" s="3" t="s">
        <v>73</v>
      </c>
      <c r="B94" s="3">
        <v>2020.0</v>
      </c>
      <c r="C94" s="3" t="s">
        <v>74</v>
      </c>
      <c r="D94" s="8">
        <v>142718.0</v>
      </c>
      <c r="E94" s="7"/>
      <c r="F94" s="3"/>
      <c r="G94" s="7"/>
      <c r="H94" s="3" t="s">
        <v>56</v>
      </c>
      <c r="I94" s="8">
        <v>7.06490332E7</v>
      </c>
      <c r="J94" s="8">
        <v>1.863092E7</v>
      </c>
      <c r="K94" s="9" t="str">
        <f t="shared" si="1"/>
        <v/>
      </c>
      <c r="L94" s="9">
        <f t="shared" si="2"/>
        <v>3792031.376</v>
      </c>
    </row>
    <row r="95" ht="15.75" customHeight="1">
      <c r="A95" s="3" t="s">
        <v>73</v>
      </c>
      <c r="B95" s="3">
        <v>2021.0</v>
      </c>
      <c r="C95" s="3" t="s">
        <v>74</v>
      </c>
      <c r="D95" s="8">
        <v>165816.0</v>
      </c>
      <c r="E95" s="7"/>
      <c r="F95" s="3"/>
      <c r="G95" s="7"/>
      <c r="H95" s="3" t="s">
        <v>56</v>
      </c>
      <c r="I95" s="8">
        <v>8.39515879E7</v>
      </c>
      <c r="J95" s="8">
        <v>1.8878966E7</v>
      </c>
      <c r="K95" s="9" t="str">
        <f t="shared" si="1"/>
        <v/>
      </c>
      <c r="L95" s="9">
        <f t="shared" si="2"/>
        <v>4446831.882</v>
      </c>
    </row>
    <row r="96" ht="15.75" customHeight="1">
      <c r="A96" s="3" t="s">
        <v>73</v>
      </c>
      <c r="B96" s="3">
        <v>2022.0</v>
      </c>
      <c r="C96" s="3" t="s">
        <v>74</v>
      </c>
      <c r="D96" s="8">
        <v>204149.0</v>
      </c>
      <c r="E96" s="7"/>
      <c r="F96" s="3"/>
      <c r="G96" s="8">
        <v>4.9</v>
      </c>
      <c r="H96" s="3" t="s">
        <v>57</v>
      </c>
      <c r="I96" s="8">
        <v>1.037655182E8</v>
      </c>
      <c r="J96" s="8">
        <v>1.9503159E7</v>
      </c>
      <c r="K96" s="9" t="str">
        <f t="shared" si="1"/>
        <v/>
      </c>
      <c r="L96" s="9">
        <f t="shared" si="2"/>
        <v>5320446.713</v>
      </c>
    </row>
    <row r="97" ht="15.75" customHeight="1">
      <c r="A97" s="3" t="s">
        <v>73</v>
      </c>
      <c r="B97" s="3">
        <v>2023.0</v>
      </c>
      <c r="C97" s="3" t="s">
        <v>74</v>
      </c>
      <c r="D97" s="8">
        <v>251356.0</v>
      </c>
      <c r="E97" s="8">
        <v>138.042857142857</v>
      </c>
      <c r="F97" s="3">
        <v>7.0</v>
      </c>
      <c r="G97" s="8">
        <v>4.725</v>
      </c>
      <c r="H97" s="3" t="s">
        <v>58</v>
      </c>
      <c r="I97" s="8">
        <v>1.194422897E8</v>
      </c>
      <c r="J97" s="8">
        <v>1.9766807E7</v>
      </c>
      <c r="K97" s="9">
        <f t="shared" si="1"/>
        <v>182085.4807</v>
      </c>
      <c r="L97" s="9">
        <f t="shared" si="2"/>
        <v>6042568.721</v>
      </c>
    </row>
    <row r="98" ht="15.75" customHeight="1">
      <c r="A98" s="3" t="s">
        <v>73</v>
      </c>
      <c r="B98" s="3">
        <v>2024.0</v>
      </c>
      <c r="C98" s="3" t="s">
        <v>74</v>
      </c>
      <c r="D98" s="8">
        <v>285677.0</v>
      </c>
      <c r="E98" s="8">
        <v>150.036363636364</v>
      </c>
      <c r="F98" s="3">
        <v>11.0</v>
      </c>
      <c r="G98" s="8">
        <v>4.66666666666667</v>
      </c>
      <c r="H98" s="3" t="s">
        <v>59</v>
      </c>
      <c r="I98" s="8">
        <v>1.366933183E8</v>
      </c>
      <c r="J98" s="8">
        <v>2.0033842E7</v>
      </c>
      <c r="K98" s="9">
        <f t="shared" si="1"/>
        <v>190405.1745</v>
      </c>
      <c r="L98" s="9">
        <f t="shared" si="2"/>
        <v>6823120.513</v>
      </c>
    </row>
    <row r="99" ht="15.75" customHeight="1">
      <c r="A99" s="3" t="s">
        <v>73</v>
      </c>
      <c r="B99" s="3">
        <v>2025.0</v>
      </c>
      <c r="C99" s="3" t="s">
        <v>74</v>
      </c>
      <c r="D99" s="8">
        <v>317512.0</v>
      </c>
      <c r="E99" s="8">
        <v>166.725</v>
      </c>
      <c r="F99" s="3">
        <v>12.0</v>
      </c>
      <c r="G99" s="7"/>
      <c r="H99" s="3" t="s">
        <v>56</v>
      </c>
      <c r="I99" s="8">
        <v>1.596085529E8</v>
      </c>
      <c r="J99" s="8">
        <v>2.0283399E7</v>
      </c>
      <c r="K99" s="9">
        <f t="shared" si="1"/>
        <v>190440.5458</v>
      </c>
      <c r="L99" s="9">
        <f t="shared" si="2"/>
        <v>7868925.366</v>
      </c>
    </row>
    <row r="100" ht="15.75" customHeight="1">
      <c r="A100" s="3" t="s">
        <v>75</v>
      </c>
      <c r="B100" s="3">
        <v>2019.0</v>
      </c>
      <c r="C100" s="3" t="s">
        <v>61</v>
      </c>
      <c r="D100" s="8">
        <v>106412.0</v>
      </c>
      <c r="E100" s="7"/>
      <c r="F100" s="3"/>
      <c r="G100" s="7"/>
      <c r="H100" s="3" t="s">
        <v>56</v>
      </c>
      <c r="I100" s="8">
        <v>4024968.4</v>
      </c>
      <c r="J100" s="8">
        <v>731503.0</v>
      </c>
      <c r="K100" s="9" t="str">
        <f t="shared" si="1"/>
        <v/>
      </c>
      <c r="L100" s="9">
        <f t="shared" si="2"/>
        <v>5502326.58</v>
      </c>
    </row>
    <row r="101" ht="15.75" customHeight="1">
      <c r="A101" s="3" t="s">
        <v>75</v>
      </c>
      <c r="B101" s="3">
        <v>2020.0</v>
      </c>
      <c r="C101" s="3" t="s">
        <v>61</v>
      </c>
      <c r="D101" s="8">
        <v>133059.0</v>
      </c>
      <c r="E101" s="7"/>
      <c r="F101" s="3"/>
      <c r="G101" s="7"/>
      <c r="H101" s="3" t="s">
        <v>56</v>
      </c>
      <c r="I101" s="8">
        <v>4605532.1</v>
      </c>
      <c r="J101" s="8">
        <v>726267.0</v>
      </c>
      <c r="K101" s="9" t="str">
        <f t="shared" si="1"/>
        <v/>
      </c>
      <c r="L101" s="9">
        <f t="shared" si="2"/>
        <v>6341375.968</v>
      </c>
    </row>
    <row r="102" ht="15.75" customHeight="1">
      <c r="A102" s="3" t="s">
        <v>75</v>
      </c>
      <c r="B102" s="3">
        <v>2021.0</v>
      </c>
      <c r="C102" s="3" t="s">
        <v>61</v>
      </c>
      <c r="D102" s="8">
        <v>162649.0</v>
      </c>
      <c r="E102" s="7"/>
      <c r="F102" s="3"/>
      <c r="G102" s="7"/>
      <c r="H102" s="3" t="s">
        <v>56</v>
      </c>
      <c r="I102" s="8">
        <v>3227619.2</v>
      </c>
      <c r="J102" s="8">
        <v>723340.0</v>
      </c>
      <c r="K102" s="9" t="str">
        <f t="shared" si="1"/>
        <v/>
      </c>
      <c r="L102" s="9">
        <f t="shared" si="2"/>
        <v>4462105.234</v>
      </c>
    </row>
    <row r="103" ht="15.75" customHeight="1">
      <c r="A103" s="3" t="s">
        <v>75</v>
      </c>
      <c r="B103" s="3">
        <v>2022.0</v>
      </c>
      <c r="C103" s="3" t="s">
        <v>61</v>
      </c>
      <c r="D103" s="8">
        <v>188634.0</v>
      </c>
      <c r="E103" s="7"/>
      <c r="F103" s="3"/>
      <c r="G103" s="8">
        <v>4.7</v>
      </c>
      <c r="H103" s="3" t="s">
        <v>57</v>
      </c>
      <c r="I103" s="8">
        <v>3916818.1</v>
      </c>
      <c r="J103" s="8">
        <v>732966.0</v>
      </c>
      <c r="K103" s="9" t="str">
        <f t="shared" si="1"/>
        <v/>
      </c>
      <c r="L103" s="9">
        <f t="shared" si="2"/>
        <v>5343792.345</v>
      </c>
    </row>
    <row r="104" ht="15.75" customHeight="1">
      <c r="A104" s="3" t="s">
        <v>75</v>
      </c>
      <c r="B104" s="3">
        <v>2023.0</v>
      </c>
      <c r="C104" s="3" t="s">
        <v>61</v>
      </c>
      <c r="D104" s="8">
        <v>251799.0</v>
      </c>
      <c r="E104" s="8">
        <v>138.842857142857</v>
      </c>
      <c r="F104" s="3">
        <v>7.0</v>
      </c>
      <c r="G104" s="8">
        <v>4.65</v>
      </c>
      <c r="H104" s="3" t="s">
        <v>58</v>
      </c>
      <c r="I104" s="8">
        <v>4459056.1</v>
      </c>
      <c r="J104" s="8">
        <v>730238.0</v>
      </c>
      <c r="K104" s="9">
        <f t="shared" si="1"/>
        <v>181355.3864</v>
      </c>
      <c r="L104" s="9">
        <f t="shared" si="2"/>
        <v>6106305.205</v>
      </c>
    </row>
    <row r="105" ht="15.75" customHeight="1">
      <c r="A105" s="3" t="s">
        <v>75</v>
      </c>
      <c r="B105" s="3">
        <v>2024.0</v>
      </c>
      <c r="C105" s="3" t="s">
        <v>61</v>
      </c>
      <c r="D105" s="8">
        <v>292448.0</v>
      </c>
      <c r="E105" s="8">
        <v>151.936363636364</v>
      </c>
      <c r="F105" s="3">
        <v>11.0</v>
      </c>
      <c r="G105" s="8">
        <v>4.6</v>
      </c>
      <c r="H105" s="3" t="s">
        <v>59</v>
      </c>
      <c r="I105" s="8">
        <v>5035142.0</v>
      </c>
      <c r="J105" s="8">
        <v>727053.0</v>
      </c>
      <c r="K105" s="9">
        <f t="shared" si="1"/>
        <v>192480.584</v>
      </c>
      <c r="L105" s="9">
        <f t="shared" si="2"/>
        <v>6925412.59</v>
      </c>
    </row>
    <row r="106" ht="15.75" customHeight="1">
      <c r="A106" s="3" t="s">
        <v>75</v>
      </c>
      <c r="B106" s="3">
        <v>2025.0</v>
      </c>
      <c r="C106" s="3" t="s">
        <v>61</v>
      </c>
      <c r="D106" s="8">
        <v>316601.0</v>
      </c>
      <c r="E106" s="8">
        <v>168.658333333333</v>
      </c>
      <c r="F106" s="3">
        <v>12.0</v>
      </c>
      <c r="G106" s="7"/>
      <c r="H106" s="3" t="s">
        <v>56</v>
      </c>
      <c r="I106" s="8">
        <v>5846091.3</v>
      </c>
      <c r="J106" s="8">
        <v>723967.0</v>
      </c>
      <c r="K106" s="9">
        <f t="shared" si="1"/>
        <v>187717.3773</v>
      </c>
      <c r="L106" s="9">
        <f t="shared" si="2"/>
        <v>8075079.803</v>
      </c>
    </row>
    <row r="107" ht="15.75" customHeight="1">
      <c r="A107" s="3" t="s">
        <v>76</v>
      </c>
      <c r="B107" s="3">
        <v>2019.0</v>
      </c>
      <c r="C107" s="3" t="s">
        <v>61</v>
      </c>
      <c r="D107" s="8">
        <v>92274.0</v>
      </c>
      <c r="E107" s="7"/>
      <c r="F107" s="3"/>
      <c r="G107" s="7"/>
      <c r="H107" s="3" t="s">
        <v>56</v>
      </c>
      <c r="I107" s="8">
        <v>2202956.7</v>
      </c>
      <c r="J107" s="8">
        <v>1008894.0</v>
      </c>
      <c r="K107" s="9" t="str">
        <f t="shared" si="1"/>
        <v/>
      </c>
      <c r="L107" s="9">
        <f t="shared" si="2"/>
        <v>2183536.328</v>
      </c>
    </row>
    <row r="108" ht="15.75" customHeight="1">
      <c r="A108" s="3" t="s">
        <v>76</v>
      </c>
      <c r="B108" s="3">
        <v>2020.0</v>
      </c>
      <c r="C108" s="3" t="s">
        <v>61</v>
      </c>
      <c r="D108" s="8">
        <v>130685.0</v>
      </c>
      <c r="E108" s="7"/>
      <c r="F108" s="3"/>
      <c r="G108" s="7"/>
      <c r="H108" s="3" t="s">
        <v>56</v>
      </c>
      <c r="I108" s="8">
        <v>2493240.9</v>
      </c>
      <c r="J108" s="8">
        <v>1037924.0</v>
      </c>
      <c r="K108" s="9" t="str">
        <f t="shared" si="1"/>
        <v/>
      </c>
      <c r="L108" s="9">
        <f t="shared" si="2"/>
        <v>2402142.064</v>
      </c>
    </row>
    <row r="109" ht="15.75" customHeight="1">
      <c r="A109" s="3" t="s">
        <v>76</v>
      </c>
      <c r="B109" s="3">
        <v>2021.0</v>
      </c>
      <c r="C109" s="3" t="s">
        <v>61</v>
      </c>
      <c r="D109" s="8">
        <v>153883.0</v>
      </c>
      <c r="E109" s="7"/>
      <c r="F109" s="3"/>
      <c r="G109" s="7"/>
      <c r="H109" s="3" t="s">
        <v>56</v>
      </c>
      <c r="I109" s="8">
        <v>2671521.8</v>
      </c>
      <c r="J109" s="8">
        <v>1074221.0</v>
      </c>
      <c r="K109" s="9" t="str">
        <f t="shared" si="1"/>
        <v/>
      </c>
      <c r="L109" s="9">
        <f t="shared" si="2"/>
        <v>2486938.721</v>
      </c>
    </row>
    <row r="110" ht="15.75" customHeight="1">
      <c r="A110" s="3" t="s">
        <v>76</v>
      </c>
      <c r="B110" s="3">
        <v>2022.0</v>
      </c>
      <c r="C110" s="3" t="s">
        <v>61</v>
      </c>
      <c r="D110" s="8">
        <v>175588.0</v>
      </c>
      <c r="E110" s="7"/>
      <c r="F110" s="3"/>
      <c r="G110" s="8">
        <v>5.0</v>
      </c>
      <c r="H110" s="3" t="s">
        <v>57</v>
      </c>
      <c r="I110" s="8">
        <v>3294392.3</v>
      </c>
      <c r="J110" s="8">
        <v>1162308.0</v>
      </c>
      <c r="K110" s="9" t="str">
        <f t="shared" si="1"/>
        <v/>
      </c>
      <c r="L110" s="9">
        <f t="shared" si="2"/>
        <v>2834353.975</v>
      </c>
    </row>
    <row r="111" ht="15.75" customHeight="1">
      <c r="A111" s="3" t="s">
        <v>76</v>
      </c>
      <c r="B111" s="3">
        <v>2023.0</v>
      </c>
      <c r="C111" s="3" t="s">
        <v>61</v>
      </c>
      <c r="D111" s="8">
        <v>215906.0</v>
      </c>
      <c r="E111" s="8">
        <v>136.842857142857</v>
      </c>
      <c r="F111" s="3">
        <v>7.0</v>
      </c>
      <c r="G111" s="8">
        <v>4.9</v>
      </c>
      <c r="H111" s="3" t="s">
        <v>58</v>
      </c>
      <c r="I111" s="8">
        <v>4079764.7</v>
      </c>
      <c r="J111" s="8">
        <v>1192199.0</v>
      </c>
      <c r="K111" s="9">
        <f t="shared" si="1"/>
        <v>157776.5946</v>
      </c>
      <c r="L111" s="9">
        <f t="shared" si="2"/>
        <v>3422050.094</v>
      </c>
    </row>
    <row r="112" ht="15.75" customHeight="1">
      <c r="A112" s="3" t="s">
        <v>76</v>
      </c>
      <c r="B112" s="3">
        <v>2024.0</v>
      </c>
      <c r="C112" s="3" t="s">
        <v>61</v>
      </c>
      <c r="D112" s="8">
        <v>248579.0</v>
      </c>
      <c r="E112" s="8">
        <v>147.681818181818</v>
      </c>
      <c r="F112" s="3">
        <v>11.0</v>
      </c>
      <c r="G112" s="8">
        <v>4.8</v>
      </c>
      <c r="H112" s="3" t="s">
        <v>59</v>
      </c>
      <c r="I112" s="8">
        <v>4738865.2</v>
      </c>
      <c r="J112" s="8">
        <v>1222066.0</v>
      </c>
      <c r="K112" s="9">
        <f t="shared" si="1"/>
        <v>168320.6525</v>
      </c>
      <c r="L112" s="9">
        <f t="shared" si="2"/>
        <v>3877748.992</v>
      </c>
    </row>
    <row r="113" ht="15.75" customHeight="1">
      <c r="A113" s="3" t="s">
        <v>76</v>
      </c>
      <c r="B113" s="3">
        <v>2025.0</v>
      </c>
      <c r="C113" s="3" t="s">
        <v>61</v>
      </c>
      <c r="D113" s="8">
        <v>273905.0</v>
      </c>
      <c r="E113" s="8">
        <v>163.25</v>
      </c>
      <c r="F113" s="3">
        <v>12.0</v>
      </c>
      <c r="G113" s="7"/>
      <c r="H113" s="3" t="s">
        <v>56</v>
      </c>
      <c r="I113" s="8">
        <v>5897586.2</v>
      </c>
      <c r="J113" s="8">
        <v>1256164.0</v>
      </c>
      <c r="K113" s="9">
        <f t="shared" si="1"/>
        <v>167782.5421</v>
      </c>
      <c r="L113" s="9">
        <f t="shared" si="2"/>
        <v>4694917.383</v>
      </c>
    </row>
    <row r="114" ht="15.75" customHeight="1">
      <c r="A114" s="3" t="s">
        <v>77</v>
      </c>
      <c r="B114" s="3">
        <v>2019.0</v>
      </c>
      <c r="C114" s="3" t="s">
        <v>61</v>
      </c>
      <c r="D114" s="8">
        <v>94482.0</v>
      </c>
      <c r="E114" s="7"/>
      <c r="F114" s="3"/>
      <c r="G114" s="7"/>
      <c r="H114" s="3" t="s">
        <v>56</v>
      </c>
      <c r="I114" s="8">
        <v>1382322.2</v>
      </c>
      <c r="J114" s="8">
        <v>553853.0</v>
      </c>
      <c r="K114" s="9" t="str">
        <f t="shared" si="1"/>
        <v/>
      </c>
      <c r="L114" s="9">
        <f t="shared" si="2"/>
        <v>2495828.677</v>
      </c>
    </row>
    <row r="115" ht="15.75" customHeight="1">
      <c r="A115" s="3" t="s">
        <v>77</v>
      </c>
      <c r="B115" s="3">
        <v>2020.0</v>
      </c>
      <c r="C115" s="3" t="s">
        <v>61</v>
      </c>
      <c r="D115" s="8">
        <v>119484.0</v>
      </c>
      <c r="E115" s="7"/>
      <c r="F115" s="3"/>
      <c r="G115" s="7"/>
      <c r="H115" s="3" t="s">
        <v>56</v>
      </c>
      <c r="I115" s="8">
        <v>1571903.6</v>
      </c>
      <c r="J115" s="8">
        <v>548092.0</v>
      </c>
      <c r="K115" s="9" t="str">
        <f t="shared" si="1"/>
        <v/>
      </c>
      <c r="L115" s="9">
        <f t="shared" si="2"/>
        <v>2867955.745</v>
      </c>
    </row>
    <row r="116" ht="15.75" customHeight="1">
      <c r="A116" s="3" t="s">
        <v>77</v>
      </c>
      <c r="B116" s="3">
        <v>2021.0</v>
      </c>
      <c r="C116" s="3" t="s">
        <v>61</v>
      </c>
      <c r="D116" s="8">
        <v>131662.0</v>
      </c>
      <c r="E116" s="7"/>
      <c r="F116" s="3"/>
      <c r="G116" s="7"/>
      <c r="H116" s="3" t="s">
        <v>56</v>
      </c>
      <c r="I116" s="8">
        <v>1790770.4</v>
      </c>
      <c r="J116" s="8">
        <v>543088.0</v>
      </c>
      <c r="K116" s="9" t="str">
        <f t="shared" si="1"/>
        <v/>
      </c>
      <c r="L116" s="9">
        <f t="shared" si="2"/>
        <v>3297385.322</v>
      </c>
    </row>
    <row r="117" ht="15.75" customHeight="1">
      <c r="A117" s="3" t="s">
        <v>77</v>
      </c>
      <c r="B117" s="3">
        <v>2022.0</v>
      </c>
      <c r="C117" s="3" t="s">
        <v>61</v>
      </c>
      <c r="D117" s="8">
        <v>171387.0</v>
      </c>
      <c r="E117" s="7"/>
      <c r="F117" s="3"/>
      <c r="G117" s="8">
        <v>4.9</v>
      </c>
      <c r="H117" s="3" t="s">
        <v>57</v>
      </c>
      <c r="I117" s="8">
        <v>2198854.3</v>
      </c>
      <c r="J117" s="8">
        <v>539111.0</v>
      </c>
      <c r="K117" s="9" t="str">
        <f t="shared" si="1"/>
        <v/>
      </c>
      <c r="L117" s="9">
        <f t="shared" si="2"/>
        <v>4078667.102</v>
      </c>
    </row>
    <row r="118" ht="15.75" customHeight="1">
      <c r="A118" s="3" t="s">
        <v>77</v>
      </c>
      <c r="B118" s="3">
        <v>2023.0</v>
      </c>
      <c r="C118" s="3" t="s">
        <v>61</v>
      </c>
      <c r="D118" s="8">
        <v>187125.0</v>
      </c>
      <c r="E118" s="8">
        <v>138.928571428571</v>
      </c>
      <c r="F118" s="3">
        <v>7.0</v>
      </c>
      <c r="G118" s="8">
        <v>4.75</v>
      </c>
      <c r="H118" s="3" t="s">
        <v>58</v>
      </c>
      <c r="I118" s="8">
        <v>2227596.3</v>
      </c>
      <c r="J118" s="8">
        <v>534104.0</v>
      </c>
      <c r="K118" s="9">
        <f t="shared" si="1"/>
        <v>134691.5167</v>
      </c>
      <c r="L118" s="9">
        <f t="shared" si="2"/>
        <v>4170716.377</v>
      </c>
    </row>
    <row r="119" ht="15.75" customHeight="1">
      <c r="A119" s="3" t="s">
        <v>77</v>
      </c>
      <c r="B119" s="3">
        <v>2024.0</v>
      </c>
      <c r="C119" s="3" t="s">
        <v>61</v>
      </c>
      <c r="D119" s="8">
        <v>231234.0</v>
      </c>
      <c r="E119" s="8">
        <v>151.909090909091</v>
      </c>
      <c r="F119" s="3">
        <v>11.0</v>
      </c>
      <c r="G119" s="8">
        <v>4.6</v>
      </c>
      <c r="H119" s="3" t="s">
        <v>59</v>
      </c>
      <c r="I119" s="8">
        <v>2621212.1</v>
      </c>
      <c r="J119" s="8">
        <v>530089.0</v>
      </c>
      <c r="K119" s="9">
        <f t="shared" si="1"/>
        <v>152218.6715</v>
      </c>
      <c r="L119" s="9">
        <f t="shared" si="2"/>
        <v>4944852.845</v>
      </c>
    </row>
    <row r="120" ht="15.75" customHeight="1">
      <c r="A120" s="3" t="s">
        <v>77</v>
      </c>
      <c r="B120" s="3">
        <v>2025.0</v>
      </c>
      <c r="C120" s="3" t="s">
        <v>61</v>
      </c>
      <c r="D120" s="8">
        <v>251107.0</v>
      </c>
      <c r="E120" s="8">
        <v>169.5</v>
      </c>
      <c r="F120" s="3">
        <v>12.0</v>
      </c>
      <c r="G120" s="7"/>
      <c r="H120" s="3" t="s">
        <v>56</v>
      </c>
      <c r="I120" s="8">
        <v>3430760.0</v>
      </c>
      <c r="J120" s="8">
        <v>522171.0</v>
      </c>
      <c r="K120" s="9">
        <f t="shared" si="1"/>
        <v>148145.7227</v>
      </c>
      <c r="L120" s="9">
        <f t="shared" si="2"/>
        <v>6570184.863</v>
      </c>
    </row>
    <row r="121" ht="15.75" customHeight="1">
      <c r="A121" s="3" t="s">
        <v>78</v>
      </c>
      <c r="B121" s="3">
        <v>2019.0</v>
      </c>
      <c r="C121" s="3" t="s">
        <v>61</v>
      </c>
      <c r="D121" s="8">
        <v>90107.0</v>
      </c>
      <c r="E121" s="7"/>
      <c r="F121" s="3"/>
      <c r="G121" s="7"/>
      <c r="H121" s="3" t="s">
        <v>56</v>
      </c>
      <c r="I121" s="8">
        <v>2016120.7</v>
      </c>
      <c r="J121" s="8">
        <v>1981741.0</v>
      </c>
      <c r="K121" s="9" t="str">
        <f t="shared" si="1"/>
        <v/>
      </c>
      <c r="L121" s="9">
        <f t="shared" si="2"/>
        <v>1017348.231</v>
      </c>
    </row>
    <row r="122" ht="15.75" customHeight="1">
      <c r="A122" s="3" t="s">
        <v>78</v>
      </c>
      <c r="B122" s="3">
        <v>2020.0</v>
      </c>
      <c r="C122" s="3" t="s">
        <v>61</v>
      </c>
      <c r="D122" s="8">
        <v>119823.0</v>
      </c>
      <c r="E122" s="7"/>
      <c r="F122" s="3"/>
      <c r="G122" s="7"/>
      <c r="H122" s="3" t="s">
        <v>56</v>
      </c>
      <c r="I122" s="8">
        <v>2384159.3</v>
      </c>
      <c r="J122" s="8">
        <v>2013751.0</v>
      </c>
      <c r="K122" s="9" t="str">
        <f t="shared" si="1"/>
        <v/>
      </c>
      <c r="L122" s="9">
        <f t="shared" si="2"/>
        <v>1183939.474</v>
      </c>
    </row>
    <row r="123" ht="15.75" customHeight="1">
      <c r="A123" s="3" t="s">
        <v>78</v>
      </c>
      <c r="B123" s="3">
        <v>2021.0</v>
      </c>
      <c r="C123" s="3" t="s">
        <v>61</v>
      </c>
      <c r="D123" s="8">
        <v>145819.0</v>
      </c>
      <c r="E123" s="7"/>
      <c r="F123" s="3"/>
      <c r="G123" s="7"/>
      <c r="H123" s="3" t="s">
        <v>56</v>
      </c>
      <c r="I123" s="8">
        <v>2808045.6</v>
      </c>
      <c r="J123" s="8">
        <v>2042445.0</v>
      </c>
      <c r="K123" s="9" t="str">
        <f t="shared" si="1"/>
        <v/>
      </c>
      <c r="L123" s="9">
        <f t="shared" si="2"/>
        <v>1374845.149</v>
      </c>
    </row>
    <row r="124" ht="15.75" customHeight="1">
      <c r="A124" s="3" t="s">
        <v>78</v>
      </c>
      <c r="B124" s="3">
        <v>2022.0</v>
      </c>
      <c r="C124" s="3" t="s">
        <v>61</v>
      </c>
      <c r="D124" s="8">
        <v>177900.0</v>
      </c>
      <c r="E124" s="7"/>
      <c r="F124" s="3"/>
      <c r="G124" s="8">
        <v>5.2</v>
      </c>
      <c r="H124" s="3" t="s">
        <v>57</v>
      </c>
      <c r="I124" s="8">
        <v>3517281.1</v>
      </c>
      <c r="J124" s="8">
        <v>2088510.0</v>
      </c>
      <c r="K124" s="9" t="str">
        <f t="shared" si="1"/>
        <v/>
      </c>
      <c r="L124" s="9">
        <f t="shared" si="2"/>
        <v>1684110.251</v>
      </c>
    </row>
    <row r="125" ht="15.75" customHeight="1">
      <c r="A125" s="3" t="s">
        <v>78</v>
      </c>
      <c r="B125" s="3">
        <v>2023.0</v>
      </c>
      <c r="C125" s="3" t="s">
        <v>61</v>
      </c>
      <c r="D125" s="8">
        <v>222054.0</v>
      </c>
      <c r="E125" s="8">
        <v>138.571428571429</v>
      </c>
      <c r="F125" s="3">
        <v>7.0</v>
      </c>
      <c r="G125" s="8">
        <v>5.0</v>
      </c>
      <c r="H125" s="3" t="s">
        <v>58</v>
      </c>
      <c r="I125" s="8">
        <v>3831527.6</v>
      </c>
      <c r="J125" s="8">
        <v>2119224.0</v>
      </c>
      <c r="K125" s="9">
        <f t="shared" si="1"/>
        <v>160245.1546</v>
      </c>
      <c r="L125" s="9">
        <f t="shared" si="2"/>
        <v>1807986.131</v>
      </c>
    </row>
    <row r="126" ht="15.75" customHeight="1">
      <c r="A126" s="3" t="s">
        <v>78</v>
      </c>
      <c r="B126" s="3">
        <v>2024.0</v>
      </c>
      <c r="C126" s="3" t="s">
        <v>61</v>
      </c>
      <c r="D126" s="8">
        <v>242328.0</v>
      </c>
      <c r="E126" s="8">
        <v>149.209090909091</v>
      </c>
      <c r="F126" s="3">
        <v>11.0</v>
      </c>
      <c r="G126" s="8">
        <v>4.83333333333333</v>
      </c>
      <c r="H126" s="3" t="s">
        <v>59</v>
      </c>
      <c r="I126" s="8">
        <v>4673463.8</v>
      </c>
      <c r="J126" s="8">
        <v>2142171.0</v>
      </c>
      <c r="K126" s="9">
        <f t="shared" si="1"/>
        <v>162408.3349</v>
      </c>
      <c r="L126" s="9">
        <f t="shared" si="2"/>
        <v>2181648.337</v>
      </c>
    </row>
    <row r="127" ht="15.75" customHeight="1">
      <c r="A127" s="3" t="s">
        <v>78</v>
      </c>
      <c r="B127" s="3">
        <v>2025.0</v>
      </c>
      <c r="C127" s="3" t="s">
        <v>61</v>
      </c>
      <c r="D127" s="8">
        <v>261028.0</v>
      </c>
      <c r="E127" s="8">
        <v>165.141666666667</v>
      </c>
      <c r="F127" s="3">
        <v>12.0</v>
      </c>
      <c r="G127" s="7"/>
      <c r="H127" s="3" t="s">
        <v>56</v>
      </c>
      <c r="I127" s="8">
        <v>5396307.1</v>
      </c>
      <c r="J127" s="8">
        <v>2154041.0</v>
      </c>
      <c r="K127" s="9">
        <f t="shared" si="1"/>
        <v>158063.0772</v>
      </c>
      <c r="L127" s="9">
        <f t="shared" si="2"/>
        <v>2505201.665</v>
      </c>
    </row>
    <row r="128" ht="15.75" customHeight="1">
      <c r="A128" s="3" t="s">
        <v>79</v>
      </c>
      <c r="B128" s="3">
        <v>2019.0</v>
      </c>
      <c r="C128" s="3" t="s">
        <v>52</v>
      </c>
      <c r="D128" s="6"/>
      <c r="E128" s="7"/>
      <c r="F128" s="3"/>
      <c r="G128" s="7"/>
      <c r="H128" s="3" t="s">
        <v>56</v>
      </c>
      <c r="I128" s="6"/>
      <c r="J128" s="8">
        <v>226768.0</v>
      </c>
      <c r="K128" s="9" t="str">
        <f t="shared" si="1"/>
        <v/>
      </c>
      <c r="L128" s="9" t="str">
        <f t="shared" si="2"/>
        <v/>
      </c>
    </row>
    <row r="129" ht="15.75" customHeight="1">
      <c r="A129" s="3" t="s">
        <v>79</v>
      </c>
      <c r="B129" s="3">
        <v>2020.0</v>
      </c>
      <c r="C129" s="3" t="s">
        <v>52</v>
      </c>
      <c r="D129" s="6"/>
      <c r="E129" s="7"/>
      <c r="F129" s="3"/>
      <c r="G129" s="7"/>
      <c r="H129" s="3" t="s">
        <v>56</v>
      </c>
      <c r="I129" s="6"/>
      <c r="J129" s="8">
        <v>227220.0</v>
      </c>
      <c r="K129" s="9" t="str">
        <f t="shared" si="1"/>
        <v/>
      </c>
      <c r="L129" s="9" t="str">
        <f t="shared" si="2"/>
        <v/>
      </c>
    </row>
    <row r="130" ht="15.75" customHeight="1">
      <c r="A130" s="3" t="s">
        <v>79</v>
      </c>
      <c r="B130" s="3">
        <v>2021.0</v>
      </c>
      <c r="C130" s="3" t="s">
        <v>52</v>
      </c>
      <c r="D130" s="6"/>
      <c r="E130" s="7"/>
      <c r="F130" s="3"/>
      <c r="G130" s="7"/>
      <c r="H130" s="3" t="s">
        <v>56</v>
      </c>
      <c r="I130" s="8">
        <v>1376916.6</v>
      </c>
      <c r="J130" s="8">
        <v>227212.0</v>
      </c>
      <c r="K130" s="9" t="str">
        <f t="shared" si="1"/>
        <v/>
      </c>
      <c r="L130" s="9">
        <f t="shared" si="2"/>
        <v>6060052.286</v>
      </c>
    </row>
    <row r="131" ht="15.75" customHeight="1">
      <c r="A131" s="3" t="s">
        <v>79</v>
      </c>
      <c r="B131" s="3">
        <v>2022.0</v>
      </c>
      <c r="C131" s="3" t="s">
        <v>52</v>
      </c>
      <c r="D131" s="6"/>
      <c r="E131" s="7"/>
      <c r="F131" s="3"/>
      <c r="G131" s="8">
        <v>4.3</v>
      </c>
      <c r="H131" s="3" t="s">
        <v>57</v>
      </c>
      <c r="I131" s="8">
        <v>1609739.8</v>
      </c>
      <c r="J131" s="8">
        <v>220913.0</v>
      </c>
      <c r="K131" s="9" t="str">
        <f t="shared" si="1"/>
        <v/>
      </c>
      <c r="L131" s="9">
        <f t="shared" si="2"/>
        <v>7286759.041</v>
      </c>
    </row>
    <row r="132" ht="15.75" customHeight="1">
      <c r="A132" s="3" t="s">
        <v>79</v>
      </c>
      <c r="B132" s="3">
        <v>2023.0</v>
      </c>
      <c r="C132" s="3" t="s">
        <v>52</v>
      </c>
      <c r="D132" s="8">
        <v>392283.0</v>
      </c>
      <c r="E132" s="8">
        <v>139.728571428571</v>
      </c>
      <c r="F132" s="3">
        <v>7.0</v>
      </c>
      <c r="G132" s="8">
        <v>4.2</v>
      </c>
      <c r="H132" s="3" t="s">
        <v>58</v>
      </c>
      <c r="I132" s="8">
        <v>1969727.3</v>
      </c>
      <c r="J132" s="8">
        <v>221421.0</v>
      </c>
      <c r="K132" s="9">
        <f t="shared" si="1"/>
        <v>280746.4472</v>
      </c>
      <c r="L132" s="9">
        <f t="shared" si="2"/>
        <v>8895846.826</v>
      </c>
    </row>
    <row r="133" ht="15.75" customHeight="1">
      <c r="A133" s="3" t="s">
        <v>79</v>
      </c>
      <c r="B133" s="3">
        <v>2024.0</v>
      </c>
      <c r="C133" s="3" t="s">
        <v>52</v>
      </c>
      <c r="D133" s="8">
        <v>404105.0</v>
      </c>
      <c r="E133" s="8">
        <v>150.5</v>
      </c>
      <c r="F133" s="3">
        <v>11.0</v>
      </c>
      <c r="G133" s="8">
        <v>4.16666666666667</v>
      </c>
      <c r="H133" s="3" t="s">
        <v>59</v>
      </c>
      <c r="I133" s="8">
        <v>2487597.6</v>
      </c>
      <c r="J133" s="8">
        <v>221584.0</v>
      </c>
      <c r="K133" s="9">
        <f t="shared" si="1"/>
        <v>268508.3056</v>
      </c>
      <c r="L133" s="9">
        <f t="shared" si="2"/>
        <v>11226431.51</v>
      </c>
    </row>
    <row r="134" ht="15.75" customHeight="1">
      <c r="A134" s="3" t="s">
        <v>79</v>
      </c>
      <c r="B134" s="3">
        <v>2025.0</v>
      </c>
      <c r="C134" s="3" t="s">
        <v>52</v>
      </c>
      <c r="D134" s="8">
        <v>457339.0</v>
      </c>
      <c r="E134" s="8">
        <v>168.108333333333</v>
      </c>
      <c r="F134" s="3">
        <v>12.0</v>
      </c>
      <c r="G134" s="7"/>
      <c r="H134" s="3" t="s">
        <v>56</v>
      </c>
      <c r="I134" s="8">
        <v>3045355.8</v>
      </c>
      <c r="J134" s="8">
        <v>221290.0</v>
      </c>
      <c r="K134" s="9">
        <f t="shared" si="1"/>
        <v>272050.1661</v>
      </c>
      <c r="L134" s="9">
        <f t="shared" si="2"/>
        <v>13761831.99</v>
      </c>
    </row>
    <row r="135" ht="15.75" customHeight="1">
      <c r="A135" s="3" t="s">
        <v>80</v>
      </c>
      <c r="B135" s="3">
        <v>2019.0</v>
      </c>
      <c r="C135" s="3" t="s">
        <v>61</v>
      </c>
      <c r="D135" s="8">
        <v>94472.0</v>
      </c>
      <c r="E135" s="7"/>
      <c r="F135" s="3"/>
      <c r="G135" s="7"/>
      <c r="H135" s="3" t="s">
        <v>56</v>
      </c>
      <c r="I135" s="8">
        <v>1712883.6</v>
      </c>
      <c r="J135" s="8">
        <v>1124156.0</v>
      </c>
      <c r="K135" s="9" t="str">
        <f t="shared" si="1"/>
        <v/>
      </c>
      <c r="L135" s="9">
        <f t="shared" si="2"/>
        <v>1523706.318</v>
      </c>
    </row>
    <row r="136" ht="15.75" customHeight="1">
      <c r="A136" s="3" t="s">
        <v>80</v>
      </c>
      <c r="B136" s="3">
        <v>2020.0</v>
      </c>
      <c r="C136" s="3" t="s">
        <v>61</v>
      </c>
      <c r="D136" s="8">
        <v>114922.0</v>
      </c>
      <c r="E136" s="7"/>
      <c r="F136" s="3"/>
      <c r="G136" s="7"/>
      <c r="H136" s="3" t="s">
        <v>56</v>
      </c>
      <c r="I136" s="8">
        <v>1901385.0</v>
      </c>
      <c r="J136" s="8">
        <v>1128844.0</v>
      </c>
      <c r="K136" s="9" t="str">
        <f t="shared" si="1"/>
        <v/>
      </c>
      <c r="L136" s="9">
        <f t="shared" si="2"/>
        <v>1684364.713</v>
      </c>
    </row>
    <row r="137" ht="15.75" customHeight="1">
      <c r="A137" s="3" t="s">
        <v>80</v>
      </c>
      <c r="B137" s="3">
        <v>2021.0</v>
      </c>
      <c r="C137" s="3" t="s">
        <v>61</v>
      </c>
      <c r="D137" s="8">
        <v>140006.0</v>
      </c>
      <c r="E137" s="7"/>
      <c r="F137" s="3"/>
      <c r="G137" s="7"/>
      <c r="H137" s="3" t="s">
        <v>56</v>
      </c>
      <c r="I137" s="8">
        <v>2262750.6</v>
      </c>
      <c r="J137" s="8">
        <v>1137961.0</v>
      </c>
      <c r="K137" s="9" t="str">
        <f t="shared" si="1"/>
        <v/>
      </c>
      <c r="L137" s="9">
        <f t="shared" si="2"/>
        <v>1988425.438</v>
      </c>
    </row>
    <row r="138" ht="15.75" customHeight="1">
      <c r="A138" s="3" t="s">
        <v>80</v>
      </c>
      <c r="B138" s="3">
        <v>2022.0</v>
      </c>
      <c r="C138" s="3" t="s">
        <v>61</v>
      </c>
      <c r="D138" s="8">
        <v>176842.0</v>
      </c>
      <c r="E138" s="7"/>
      <c r="F138" s="3"/>
      <c r="G138" s="8">
        <v>5.0</v>
      </c>
      <c r="H138" s="3" t="s">
        <v>57</v>
      </c>
      <c r="I138" s="8">
        <v>2685459.6</v>
      </c>
      <c r="J138" s="8">
        <v>1209665.0</v>
      </c>
      <c r="K138" s="9" t="str">
        <f t="shared" si="1"/>
        <v/>
      </c>
      <c r="L138" s="9">
        <f t="shared" si="2"/>
        <v>2220002.728</v>
      </c>
    </row>
    <row r="139" ht="15.75" customHeight="1">
      <c r="A139" s="3" t="s">
        <v>80</v>
      </c>
      <c r="B139" s="3">
        <v>2023.0</v>
      </c>
      <c r="C139" s="3" t="s">
        <v>61</v>
      </c>
      <c r="D139" s="8">
        <v>212624.0</v>
      </c>
      <c r="E139" s="8">
        <v>136.614285714286</v>
      </c>
      <c r="F139" s="3">
        <v>7.0</v>
      </c>
      <c r="G139" s="8">
        <v>4.825</v>
      </c>
      <c r="H139" s="3" t="s">
        <v>58</v>
      </c>
      <c r="I139" s="8">
        <v>2926010.6</v>
      </c>
      <c r="J139" s="8">
        <v>1218158.0</v>
      </c>
      <c r="K139" s="9">
        <f t="shared" si="1"/>
        <v>155638.1889</v>
      </c>
      <c r="L139" s="9">
        <f t="shared" si="2"/>
        <v>2401995.964</v>
      </c>
    </row>
    <row r="140" ht="15.75" customHeight="1">
      <c r="A140" s="3" t="s">
        <v>80</v>
      </c>
      <c r="B140" s="3">
        <v>2024.0</v>
      </c>
      <c r="C140" s="3" t="s">
        <v>61</v>
      </c>
      <c r="D140" s="8">
        <v>242728.0</v>
      </c>
      <c r="E140" s="8">
        <v>146.972727272727</v>
      </c>
      <c r="F140" s="3">
        <v>11.0</v>
      </c>
      <c r="G140" s="8">
        <v>4.8</v>
      </c>
      <c r="H140" s="3" t="s">
        <v>59</v>
      </c>
      <c r="I140" s="8">
        <v>3150409.7</v>
      </c>
      <c r="J140" s="8">
        <v>1222593.0</v>
      </c>
      <c r="K140" s="9">
        <f t="shared" si="1"/>
        <v>165151.7288</v>
      </c>
      <c r="L140" s="9">
        <f t="shared" si="2"/>
        <v>2576826.221</v>
      </c>
    </row>
    <row r="141" ht="15.75" customHeight="1">
      <c r="A141" s="3" t="s">
        <v>80</v>
      </c>
      <c r="B141" s="3">
        <v>2025.0</v>
      </c>
      <c r="C141" s="3" t="s">
        <v>61</v>
      </c>
      <c r="D141" s="8">
        <v>281690.0</v>
      </c>
      <c r="E141" s="8">
        <v>161.416666666667</v>
      </c>
      <c r="F141" s="3">
        <v>12.0</v>
      </c>
      <c r="G141" s="7"/>
      <c r="H141" s="3" t="s">
        <v>56</v>
      </c>
      <c r="I141" s="8">
        <v>3341625.8</v>
      </c>
      <c r="J141" s="8">
        <v>1222391.0</v>
      </c>
      <c r="K141" s="9">
        <f t="shared" si="1"/>
        <v>174511.0996</v>
      </c>
      <c r="L141" s="9">
        <f t="shared" si="2"/>
        <v>2733679.976</v>
      </c>
    </row>
    <row r="142" ht="15.75" customHeight="1">
      <c r="A142" s="3" t="s">
        <v>81</v>
      </c>
      <c r="B142" s="3">
        <v>2019.0</v>
      </c>
      <c r="C142" s="3" t="s">
        <v>52</v>
      </c>
      <c r="D142" s="6"/>
      <c r="E142" s="7"/>
      <c r="F142" s="3"/>
      <c r="G142" s="7"/>
      <c r="H142" s="3" t="s">
        <v>56</v>
      </c>
      <c r="I142" s="6"/>
      <c r="J142" s="8">
        <v>663364.0</v>
      </c>
      <c r="K142" s="9" t="str">
        <f t="shared" si="1"/>
        <v/>
      </c>
      <c r="L142" s="9" t="str">
        <f t="shared" si="2"/>
        <v/>
      </c>
    </row>
    <row r="143" ht="15.75" customHeight="1">
      <c r="A143" s="3" t="s">
        <v>81</v>
      </c>
      <c r="B143" s="3">
        <v>2020.0</v>
      </c>
      <c r="C143" s="3" t="s">
        <v>52</v>
      </c>
      <c r="D143" s="6"/>
      <c r="E143" s="7"/>
      <c r="F143" s="3"/>
      <c r="G143" s="7"/>
      <c r="H143" s="3" t="s">
        <v>56</v>
      </c>
      <c r="I143" s="6"/>
      <c r="J143" s="8">
        <v>660938.0</v>
      </c>
      <c r="K143" s="9" t="str">
        <f t="shared" si="1"/>
        <v/>
      </c>
      <c r="L143" s="9" t="str">
        <f t="shared" si="2"/>
        <v/>
      </c>
    </row>
    <row r="144" ht="15.75" customHeight="1">
      <c r="A144" s="3" t="s">
        <v>81</v>
      </c>
      <c r="B144" s="3">
        <v>2021.0</v>
      </c>
      <c r="C144" s="3" t="s">
        <v>52</v>
      </c>
      <c r="D144" s="6"/>
      <c r="E144" s="7"/>
      <c r="F144" s="3"/>
      <c r="G144" s="7"/>
      <c r="H144" s="3" t="s">
        <v>56</v>
      </c>
      <c r="I144" s="8">
        <v>1227058.5</v>
      </c>
      <c r="J144" s="8">
        <v>662813.0</v>
      </c>
      <c r="K144" s="9" t="str">
        <f t="shared" si="1"/>
        <v/>
      </c>
      <c r="L144" s="9">
        <f t="shared" si="2"/>
        <v>1851289.127</v>
      </c>
    </row>
    <row r="145" ht="15.75" customHeight="1">
      <c r="A145" s="3" t="s">
        <v>81</v>
      </c>
      <c r="B145" s="3">
        <v>2022.0</v>
      </c>
      <c r="C145" s="3" t="s">
        <v>52</v>
      </c>
      <c r="D145" s="6"/>
      <c r="E145" s="7"/>
      <c r="F145" s="3"/>
      <c r="G145" s="8">
        <v>5.1</v>
      </c>
      <c r="H145" s="3" t="s">
        <v>57</v>
      </c>
      <c r="I145" s="8">
        <v>1426882.2</v>
      </c>
      <c r="J145" s="8">
        <v>698757.0</v>
      </c>
      <c r="K145" s="9" t="str">
        <f t="shared" si="1"/>
        <v/>
      </c>
      <c r="L145" s="9">
        <f t="shared" si="2"/>
        <v>2042029.203</v>
      </c>
    </row>
    <row r="146" ht="15.75" customHeight="1">
      <c r="A146" s="3" t="s">
        <v>81</v>
      </c>
      <c r="B146" s="3">
        <v>2023.0</v>
      </c>
      <c r="C146" s="3" t="s">
        <v>52</v>
      </c>
      <c r="D146" s="8">
        <v>196693.0</v>
      </c>
      <c r="E146" s="8">
        <v>137.685714285714</v>
      </c>
      <c r="F146" s="3">
        <v>7.0</v>
      </c>
      <c r="G146" s="8">
        <v>4.875</v>
      </c>
      <c r="H146" s="3" t="s">
        <v>58</v>
      </c>
      <c r="I146" s="8">
        <v>1809417.6</v>
      </c>
      <c r="J146" s="8">
        <v>698726.0</v>
      </c>
      <c r="K146" s="9">
        <f t="shared" si="1"/>
        <v>142856.5055</v>
      </c>
      <c r="L146" s="9">
        <f t="shared" si="2"/>
        <v>2589595.349</v>
      </c>
    </row>
    <row r="147" ht="15.75" customHeight="1">
      <c r="A147" s="3" t="s">
        <v>81</v>
      </c>
      <c r="B147" s="3">
        <v>2024.0</v>
      </c>
      <c r="C147" s="3" t="s">
        <v>52</v>
      </c>
      <c r="D147" s="8">
        <v>233593.0</v>
      </c>
      <c r="E147" s="8">
        <v>150.0</v>
      </c>
      <c r="F147" s="3">
        <v>11.0</v>
      </c>
      <c r="G147" s="8">
        <v>4.83333333333333</v>
      </c>
      <c r="H147" s="3" t="s">
        <v>59</v>
      </c>
      <c r="I147" s="8">
        <v>2227944.1</v>
      </c>
      <c r="J147" s="8">
        <v>697987.0</v>
      </c>
      <c r="K147" s="9">
        <f t="shared" si="1"/>
        <v>155728.6667</v>
      </c>
      <c r="L147" s="9">
        <f t="shared" si="2"/>
        <v>3191956.44</v>
      </c>
    </row>
    <row r="148" ht="15.75" customHeight="1">
      <c r="A148" s="3" t="s">
        <v>81</v>
      </c>
      <c r="B148" s="3">
        <v>2025.0</v>
      </c>
      <c r="C148" s="3" t="s">
        <v>52</v>
      </c>
      <c r="D148" s="8">
        <v>265753.0</v>
      </c>
      <c r="E148" s="8">
        <v>165.475</v>
      </c>
      <c r="F148" s="3">
        <v>12.0</v>
      </c>
      <c r="G148" s="7"/>
      <c r="H148" s="3" t="s">
        <v>56</v>
      </c>
      <c r="I148" s="8">
        <v>2507485.9</v>
      </c>
      <c r="J148" s="8">
        <v>694325.0</v>
      </c>
      <c r="K148" s="9">
        <f t="shared" si="1"/>
        <v>160600.0906</v>
      </c>
      <c r="L148" s="9">
        <f t="shared" si="2"/>
        <v>3611400.857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4" width="14.0"/>
    <col customWidth="1" min="5" max="5" width="90.0"/>
    <col customWidth="1" min="6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3" t="s">
        <v>7</v>
      </c>
      <c r="B2" s="3">
        <v>147.0</v>
      </c>
      <c r="C2" s="3">
        <v>135.0</v>
      </c>
      <c r="D2" s="3">
        <v>12.0</v>
      </c>
      <c r="E2" s="3" t="s">
        <v>10</v>
      </c>
    </row>
    <row r="3">
      <c r="A3" s="3" t="s">
        <v>11</v>
      </c>
      <c r="B3" s="3">
        <v>147.0</v>
      </c>
      <c r="C3" s="3">
        <v>63.0</v>
      </c>
      <c r="D3" s="3">
        <v>84.0</v>
      </c>
      <c r="E3" s="3" t="s">
        <v>13</v>
      </c>
    </row>
    <row r="4">
      <c r="A4" s="3" t="s">
        <v>14</v>
      </c>
      <c r="B4" s="3">
        <v>147.0</v>
      </c>
      <c r="C4" s="3">
        <v>63.0</v>
      </c>
      <c r="D4" s="3">
        <v>84.0</v>
      </c>
      <c r="E4" s="3" t="s">
        <v>15</v>
      </c>
    </row>
    <row r="5">
      <c r="A5" s="3" t="s">
        <v>16</v>
      </c>
      <c r="B5" s="3">
        <v>147.0</v>
      </c>
      <c r="C5" s="3">
        <v>141.0</v>
      </c>
      <c r="D5" s="3">
        <v>6.0</v>
      </c>
      <c r="E5" s="3" t="s">
        <v>18</v>
      </c>
    </row>
    <row r="6">
      <c r="A6" s="3" t="s">
        <v>20</v>
      </c>
      <c r="B6" s="3">
        <v>147.0</v>
      </c>
      <c r="C6" s="3">
        <v>147.0</v>
      </c>
      <c r="D6" s="3">
        <v>0.0</v>
      </c>
      <c r="E6" s="5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