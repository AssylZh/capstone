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Quarterly_Panel" sheetId="2" r:id="rId6"/>
    <sheet state="visible" name="Add_Info" sheetId="3" r:id="rId7"/>
  </sheets>
  <definedNames/>
  <calcPr/>
</workbook>
</file>

<file path=xl/sharedStrings.xml><?xml version="1.0" encoding="utf-8"?>
<sst xmlns="http://schemas.openxmlformats.org/spreadsheetml/2006/main" count="355" uniqueCount="61">
  <si>
    <t xml:space="preserve">Kazakhstan Regional Panel - QUARTERLY </t>
  </si>
  <si>
    <t xml:space="preserve">IMPORTANT: wage_mean here is MEAN wage </t>
  </si>
  <si>
    <t xml:space="preserve">statistic as wage_median in the annual workbook. </t>
  </si>
  <si>
    <t>WHAT'S QUARTERLY vs BROADCAST FROM ANNUAL</t>
  </si>
  <si>
    <t>wage_mean             : quarterly (quarterly wage bulletins)</t>
  </si>
  <si>
    <t>cpi_index             : quarterly (re-aggregated from monthly CPI,</t>
  </si>
  <si>
    <t xml:space="preserve">                        mean of the 1-3 months collected that quarter)</t>
  </si>
  <si>
    <t>unemployment_rate_pct : quarterly (source is quarterly already)</t>
  </si>
  <si>
    <t>grp_mln_tenge         : ANNUAL value repeated across all 4 quarters of that year</t>
  </si>
  <si>
    <t xml:space="preserve">                        (GRP has no quarterly source -- yellow fill marks this)</t>
  </si>
  <si>
    <t>region</t>
  </si>
  <si>
    <t>population            : ANNUAL value repeated across all 4 quarters of that year</t>
  </si>
  <si>
    <t xml:space="preserve">                        (population is annual-only -- yellow fill marks this)</t>
  </si>
  <si>
    <t>source</t>
  </si>
  <si>
    <t>year</t>
  </si>
  <si>
    <t>quarter</t>
  </si>
  <si>
    <t>wage_mean</t>
  </si>
  <si>
    <t>cpi_index</t>
  </si>
  <si>
    <t>cpi_months_available</t>
  </si>
  <si>
    <t>unemployment_rate_pct</t>
  </si>
  <si>
    <t>grp_mln_tenge</t>
  </si>
  <si>
    <t>population</t>
  </si>
  <si>
    <t>real_wage_mean</t>
  </si>
  <si>
    <t>grp_per_capita_tenge</t>
  </si>
  <si>
    <t>Abay</t>
  </si>
  <si>
    <t>Color key in Quarterly_Panel</t>
  </si>
  <si>
    <t>Green = quarterly value present.</t>
  </si>
  <si>
    <t>Yellow = annual value broadcast to this quarter (GRP, population).</t>
  </si>
  <si>
    <t>Orange = not available for this quarter.</t>
  </si>
  <si>
    <t>grain</t>
  </si>
  <si>
    <t>rows_expected</t>
  </si>
  <si>
    <t>rows_matched</t>
  </si>
  <si>
    <t>rows_missing</t>
  </si>
  <si>
    <t>coverage_detail</t>
  </si>
  <si>
    <t>quarterly</t>
  </si>
  <si>
    <t>Q4 2022 - Q2 2026, all 21 regions</t>
  </si>
  <si>
    <t>Only quarters from 2023 onward (no monthly CPI collected before Jan 2023)</t>
  </si>
  <si>
    <t>Only Q4 2022 - Q3 2024 (matches labor market bulletin coverage)</t>
  </si>
  <si>
    <t>ANNUAL, broadcast to 4 quarters</t>
  </si>
  <si>
    <t>2019-2025 for original regions, 2021-2025 for Abay/Zhetisu/Ulytau -- same annual value repeats each quarter</t>
  </si>
  <si>
    <t>Full 2019-2025 for all 21 regions -- same annual value repeats each quarter</t>
  </si>
  <si>
    <t>Akmola</t>
  </si>
  <si>
    <t>Aktobe</t>
  </si>
  <si>
    <t>Almaty</t>
  </si>
  <si>
    <t>Almaty city</t>
  </si>
  <si>
    <t>Astana city</t>
  </si>
  <si>
    <t>Atyrau</t>
  </si>
  <si>
    <t>Batys Kazakhstan</t>
  </si>
  <si>
    <t>Karagandy</t>
  </si>
  <si>
    <t>Kostanay</t>
  </si>
  <si>
    <t>Kyzylorda</t>
  </si>
  <si>
    <t>Mangystau</t>
  </si>
  <si>
    <t>Pavlodar</t>
  </si>
  <si>
    <t>Republic of Kazakhstan</t>
  </si>
  <si>
    <t>Shygys Kazakhstan</t>
  </si>
  <si>
    <t>Shymkent city</t>
  </si>
  <si>
    <t>Soltustik Kazakhstan</t>
  </si>
  <si>
    <t>Turkistan</t>
  </si>
  <si>
    <t>Ulytau</t>
  </si>
  <si>
    <t>Zhambyl</t>
  </si>
  <si>
    <t>Zhetisu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</si>
</sst>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2"/>
    </row>
    <row r="6">
      <c r="A6" s="2"/>
    </row>
    <row r="7">
      <c r="A7" s="3" t="s">
        <v>3</v>
      </c>
    </row>
    <row r="8">
      <c r="A8" s="4" t="s">
        <v>4</v>
      </c>
    </row>
    <row r="9">
      <c r="A9" s="4" t="s">
        <v>5</v>
      </c>
    </row>
    <row r="10">
      <c r="A10" s="2" t="s">
        <v>6</v>
      </c>
    </row>
    <row r="11">
      <c r="A11" s="4" t="s">
        <v>7</v>
      </c>
    </row>
    <row r="12">
      <c r="A12" s="2" t="s">
        <v>8</v>
      </c>
    </row>
    <row r="13">
      <c r="A13" s="2" t="s">
        <v>9</v>
      </c>
    </row>
    <row r="14">
      <c r="A14" s="2" t="s">
        <v>11</v>
      </c>
    </row>
    <row r="15">
      <c r="A15" s="2" t="s">
        <v>12</v>
      </c>
    </row>
    <row r="16">
      <c r="A16" s="2"/>
    </row>
    <row r="17">
      <c r="A17" s="6"/>
    </row>
    <row r="18">
      <c r="A18" s="2"/>
    </row>
    <row r="19">
      <c r="A19" s="2"/>
    </row>
    <row r="20">
      <c r="A20" s="2"/>
    </row>
    <row r="21" ht="15.75" customHeight="1">
      <c r="A21" s="6" t="s">
        <v>25</v>
      </c>
    </row>
    <row r="22" ht="15.75" customHeight="1">
      <c r="A22" s="4" t="s">
        <v>26</v>
      </c>
    </row>
    <row r="23" ht="15.75" customHeight="1">
      <c r="A23" s="2" t="s">
        <v>27</v>
      </c>
    </row>
    <row r="24" ht="15.75" customHeight="1">
      <c r="A24" s="2" t="s">
        <v>28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4" width="14.0"/>
    <col customWidth="1" min="5" max="5" width="20.0"/>
    <col customWidth="1" min="6" max="6" width="22.0"/>
    <col customWidth="1" min="7" max="7" width="23.0"/>
    <col customWidth="1" min="8" max="8" width="15.0"/>
    <col customWidth="1" min="9" max="9" width="14.0"/>
    <col customWidth="1" min="10" max="10" width="18.0"/>
    <col customWidth="1" min="11" max="11" width="20.0"/>
    <col customWidth="1" min="12" max="26" width="8.71"/>
  </cols>
  <sheetData>
    <row r="1">
      <c r="A1" s="5" t="s">
        <v>10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</row>
    <row r="2">
      <c r="A2" s="2" t="s">
        <v>24</v>
      </c>
      <c r="B2" s="2">
        <v>2022.0</v>
      </c>
      <c r="C2" s="2">
        <v>4.0</v>
      </c>
      <c r="D2" s="7">
        <v>280574.0</v>
      </c>
      <c r="E2" s="8"/>
      <c r="F2" s="2"/>
      <c r="G2" s="7">
        <v>5.2</v>
      </c>
      <c r="H2" s="9">
        <v>2383753.4</v>
      </c>
      <c r="I2" s="9">
        <v>611888.0</v>
      </c>
      <c r="J2" s="10" t="str">
        <f t="shared" ref="J2:J308" si="1">IFERROR(IF(OR(D2="",E2=""),"",D2/(E2/100)),"")</f>
        <v/>
      </c>
      <c r="K2" s="10">
        <f t="shared" ref="K2:K308" si="2">IFERROR(IF(OR(H2="",I2=""),"",H2*1000000/I2),"")</f>
        <v>3895734.84</v>
      </c>
    </row>
    <row r="3">
      <c r="A3" s="2" t="s">
        <v>24</v>
      </c>
      <c r="B3" s="2">
        <v>2023.0</v>
      </c>
      <c r="C3" s="2">
        <v>1.0</v>
      </c>
      <c r="D3" s="7">
        <v>282665.0</v>
      </c>
      <c r="E3" s="7">
        <v>133.15</v>
      </c>
      <c r="F3" s="2">
        <v>2.0</v>
      </c>
      <c r="G3" s="7">
        <v>4.8</v>
      </c>
      <c r="H3" s="9">
        <v>2626326.7</v>
      </c>
      <c r="I3" s="9">
        <v>610198.0</v>
      </c>
      <c r="J3" s="10">
        <f t="shared" si="1"/>
        <v>212290.6496</v>
      </c>
      <c r="K3" s="10">
        <f t="shared" si="2"/>
        <v>4304056.552</v>
      </c>
    </row>
    <row r="4">
      <c r="A4" s="2" t="s">
        <v>24</v>
      </c>
      <c r="B4" s="2">
        <v>2023.0</v>
      </c>
      <c r="C4" s="2">
        <v>2.0</v>
      </c>
      <c r="D4" s="7">
        <v>302975.0</v>
      </c>
      <c r="E4" s="7">
        <v>136.9</v>
      </c>
      <c r="F4" s="2">
        <v>1.0</v>
      </c>
      <c r="G4" s="7">
        <v>4.7</v>
      </c>
      <c r="H4" s="9">
        <v>2626326.7</v>
      </c>
      <c r="I4" s="9">
        <v>610198.0</v>
      </c>
      <c r="J4" s="10">
        <f t="shared" si="1"/>
        <v>221311.176</v>
      </c>
      <c r="K4" s="10">
        <f t="shared" si="2"/>
        <v>4304056.552</v>
      </c>
    </row>
    <row r="5">
      <c r="A5" s="2" t="s">
        <v>24</v>
      </c>
      <c r="B5" s="2">
        <v>2023.0</v>
      </c>
      <c r="C5" s="2">
        <v>3.0</v>
      </c>
      <c r="D5" s="7">
        <v>292842.0</v>
      </c>
      <c r="E5" s="7">
        <v>139.5</v>
      </c>
      <c r="F5" s="2">
        <v>1.0</v>
      </c>
      <c r="G5" s="7">
        <v>4.7</v>
      </c>
      <c r="H5" s="9">
        <v>2626326.7</v>
      </c>
      <c r="I5" s="9">
        <v>610198.0</v>
      </c>
      <c r="J5" s="10">
        <f t="shared" si="1"/>
        <v>209922.5806</v>
      </c>
      <c r="K5" s="10">
        <f t="shared" si="2"/>
        <v>4304056.552</v>
      </c>
    </row>
    <row r="6">
      <c r="A6" s="2" t="s">
        <v>24</v>
      </c>
      <c r="B6" s="2">
        <v>2023.0</v>
      </c>
      <c r="C6" s="2">
        <v>4.0</v>
      </c>
      <c r="D6" s="7">
        <v>325298.0</v>
      </c>
      <c r="E6" s="7">
        <v>142.2</v>
      </c>
      <c r="F6" s="2">
        <v>3.0</v>
      </c>
      <c r="G6" s="7">
        <v>4.7</v>
      </c>
      <c r="H6" s="9">
        <v>2626326.7</v>
      </c>
      <c r="I6" s="9">
        <v>610198.0</v>
      </c>
      <c r="J6" s="10">
        <f t="shared" si="1"/>
        <v>228760.9001</v>
      </c>
      <c r="K6" s="10">
        <f t="shared" si="2"/>
        <v>4304056.552</v>
      </c>
    </row>
    <row r="7">
      <c r="A7" s="2" t="s">
        <v>24</v>
      </c>
      <c r="B7" s="2">
        <v>2024.0</v>
      </c>
      <c r="C7" s="2">
        <v>1.0</v>
      </c>
      <c r="D7" s="7">
        <v>322830.0</v>
      </c>
      <c r="E7" s="7">
        <v>146.45</v>
      </c>
      <c r="F7" s="2">
        <v>2.0</v>
      </c>
      <c r="G7" s="7">
        <v>4.8</v>
      </c>
      <c r="H7" s="9">
        <v>3248624.0</v>
      </c>
      <c r="I7" s="9">
        <v>607589.0</v>
      </c>
      <c r="J7" s="10">
        <f t="shared" si="1"/>
        <v>220437.0092</v>
      </c>
      <c r="K7" s="10">
        <f t="shared" si="2"/>
        <v>5346745.909</v>
      </c>
    </row>
    <row r="8">
      <c r="A8" s="2" t="s">
        <v>24</v>
      </c>
      <c r="B8" s="2">
        <v>2024.0</v>
      </c>
      <c r="C8" s="2">
        <v>2.0</v>
      </c>
      <c r="D8" s="7">
        <v>340204.0</v>
      </c>
      <c r="E8" s="7">
        <v>148.5</v>
      </c>
      <c r="F8" s="2">
        <v>3.0</v>
      </c>
      <c r="G8" s="7">
        <v>4.7</v>
      </c>
      <c r="H8" s="9">
        <v>3248624.0</v>
      </c>
      <c r="I8" s="9">
        <v>607589.0</v>
      </c>
      <c r="J8" s="10">
        <f t="shared" si="1"/>
        <v>229093.6027</v>
      </c>
      <c r="K8" s="10">
        <f t="shared" si="2"/>
        <v>5346745.909</v>
      </c>
    </row>
    <row r="9">
      <c r="A9" s="2" t="s">
        <v>24</v>
      </c>
      <c r="B9" s="2">
        <v>2024.0</v>
      </c>
      <c r="C9" s="2">
        <v>3.0</v>
      </c>
      <c r="D9" s="7">
        <v>334507.0</v>
      </c>
      <c r="E9" s="7">
        <v>150.933333333333</v>
      </c>
      <c r="F9" s="2">
        <v>3.0</v>
      </c>
      <c r="G9" s="7">
        <v>4.7</v>
      </c>
      <c r="H9" s="9">
        <v>3248624.0</v>
      </c>
      <c r="I9" s="9">
        <v>607589.0</v>
      </c>
      <c r="J9" s="10">
        <f t="shared" si="1"/>
        <v>221625.6625</v>
      </c>
      <c r="K9" s="10">
        <f t="shared" si="2"/>
        <v>5346745.909</v>
      </c>
    </row>
    <row r="10">
      <c r="A10" s="2" t="s">
        <v>24</v>
      </c>
      <c r="B10" s="2">
        <v>2024.0</v>
      </c>
      <c r="C10" s="2">
        <v>4.0</v>
      </c>
      <c r="D10" s="7">
        <v>363624.0</v>
      </c>
      <c r="E10" s="7">
        <v>155.166666666667</v>
      </c>
      <c r="F10" s="2">
        <v>3.0</v>
      </c>
      <c r="G10" s="8"/>
      <c r="H10" s="9">
        <v>3248624.0</v>
      </c>
      <c r="I10" s="9">
        <v>607589.0</v>
      </c>
      <c r="J10" s="10">
        <f t="shared" si="1"/>
        <v>234344.1461</v>
      </c>
      <c r="K10" s="10">
        <f t="shared" si="2"/>
        <v>5346745.909</v>
      </c>
    </row>
    <row r="11">
      <c r="A11" s="2" t="s">
        <v>24</v>
      </c>
      <c r="B11" s="2">
        <v>2025.0</v>
      </c>
      <c r="C11" s="2">
        <v>1.0</v>
      </c>
      <c r="D11" s="7">
        <v>355108.0</v>
      </c>
      <c r="E11" s="7">
        <v>159.933333333333</v>
      </c>
      <c r="F11" s="2">
        <v>3.0</v>
      </c>
      <c r="G11" s="8"/>
      <c r="H11" s="9">
        <v>4128287.9</v>
      </c>
      <c r="I11" s="9">
        <v>602832.0</v>
      </c>
      <c r="J11" s="10">
        <f t="shared" si="1"/>
        <v>222035.0146</v>
      </c>
      <c r="K11" s="10">
        <f t="shared" si="2"/>
        <v>6848156.534</v>
      </c>
    </row>
    <row r="12">
      <c r="A12" s="2" t="s">
        <v>24</v>
      </c>
      <c r="B12" s="2">
        <v>2025.0</v>
      </c>
      <c r="C12" s="2">
        <v>2.0</v>
      </c>
      <c r="D12" s="7">
        <v>381756.0</v>
      </c>
      <c r="E12" s="7">
        <v>165.1</v>
      </c>
      <c r="F12" s="2">
        <v>3.0</v>
      </c>
      <c r="G12" s="8"/>
      <c r="H12" s="9">
        <v>4128287.9</v>
      </c>
      <c r="I12" s="9">
        <v>602832.0</v>
      </c>
      <c r="J12" s="10">
        <f t="shared" si="1"/>
        <v>231227.1351</v>
      </c>
      <c r="K12" s="10">
        <f t="shared" si="2"/>
        <v>6848156.534</v>
      </c>
    </row>
    <row r="13">
      <c r="A13" s="2" t="s">
        <v>24</v>
      </c>
      <c r="B13" s="2">
        <v>2025.0</v>
      </c>
      <c r="C13" s="2">
        <v>3.0</v>
      </c>
      <c r="D13" s="7">
        <v>372831.0</v>
      </c>
      <c r="E13" s="7">
        <v>169.233333333333</v>
      </c>
      <c r="F13" s="2">
        <v>3.0</v>
      </c>
      <c r="G13" s="8"/>
      <c r="H13" s="9">
        <v>4128287.9</v>
      </c>
      <c r="I13" s="9">
        <v>602832.0</v>
      </c>
      <c r="J13" s="10">
        <f t="shared" si="1"/>
        <v>220305.8893</v>
      </c>
      <c r="K13" s="10">
        <f t="shared" si="2"/>
        <v>6848156.534</v>
      </c>
    </row>
    <row r="14">
      <c r="A14" s="2" t="s">
        <v>24</v>
      </c>
      <c r="B14" s="2">
        <v>2025.0</v>
      </c>
      <c r="C14" s="2">
        <v>4.0</v>
      </c>
      <c r="D14" s="7">
        <v>406275.0</v>
      </c>
      <c r="E14" s="7">
        <v>173.533333333333</v>
      </c>
      <c r="F14" s="2">
        <v>3.0</v>
      </c>
      <c r="G14" s="8"/>
      <c r="H14" s="9">
        <v>4128287.9</v>
      </c>
      <c r="I14" s="9">
        <v>602832.0</v>
      </c>
      <c r="J14" s="10">
        <f t="shared" si="1"/>
        <v>234119.2854</v>
      </c>
      <c r="K14" s="10">
        <f t="shared" si="2"/>
        <v>6848156.534</v>
      </c>
    </row>
    <row r="15">
      <c r="A15" s="2" t="s">
        <v>24</v>
      </c>
      <c r="B15" s="2">
        <v>2026.0</v>
      </c>
      <c r="C15" s="2">
        <v>1.0</v>
      </c>
      <c r="D15" s="7">
        <v>405425.0</v>
      </c>
      <c r="E15" s="7">
        <v>178.4</v>
      </c>
      <c r="F15" s="2">
        <v>3.0</v>
      </c>
      <c r="G15" s="8"/>
      <c r="H15" s="8"/>
      <c r="I15" s="8"/>
      <c r="J15" s="10">
        <f t="shared" si="1"/>
        <v>227256.1659</v>
      </c>
      <c r="K15" s="10" t="str">
        <f t="shared" si="2"/>
        <v/>
      </c>
    </row>
    <row r="16">
      <c r="A16" s="2" t="s">
        <v>24</v>
      </c>
      <c r="B16" s="2">
        <v>2026.0</v>
      </c>
      <c r="C16" s="2">
        <v>2.0</v>
      </c>
      <c r="D16" s="7">
        <v>422043.0</v>
      </c>
      <c r="E16" s="7">
        <v>182.033333333333</v>
      </c>
      <c r="F16" s="2">
        <v>3.0</v>
      </c>
      <c r="G16" s="8"/>
      <c r="H16" s="8"/>
      <c r="I16" s="8"/>
      <c r="J16" s="10">
        <f t="shared" si="1"/>
        <v>231849.295</v>
      </c>
      <c r="K16" s="10" t="str">
        <f t="shared" si="2"/>
        <v/>
      </c>
    </row>
    <row r="17">
      <c r="A17" s="2" t="s">
        <v>41</v>
      </c>
      <c r="B17" s="2">
        <v>2022.0</v>
      </c>
      <c r="C17" s="2">
        <v>4.0</v>
      </c>
      <c r="D17" s="7">
        <v>274603.0</v>
      </c>
      <c r="E17" s="8"/>
      <c r="F17" s="2"/>
      <c r="G17" s="7">
        <v>4.8</v>
      </c>
      <c r="H17" s="9">
        <v>3484572.5</v>
      </c>
      <c r="I17" s="9">
        <v>785708.0</v>
      </c>
      <c r="J17" s="10" t="str">
        <f t="shared" si="1"/>
        <v/>
      </c>
      <c r="K17" s="10">
        <f t="shared" si="2"/>
        <v>4434945.934</v>
      </c>
    </row>
    <row r="18">
      <c r="A18" s="2" t="s">
        <v>41</v>
      </c>
      <c r="B18" s="2">
        <v>2023.0</v>
      </c>
      <c r="C18" s="2">
        <v>1.0</v>
      </c>
      <c r="D18" s="7">
        <v>273822.0</v>
      </c>
      <c r="E18" s="7">
        <v>134.5</v>
      </c>
      <c r="F18" s="2">
        <v>2.0</v>
      </c>
      <c r="G18" s="7">
        <v>4.7</v>
      </c>
      <c r="H18" s="9">
        <v>3668371.9</v>
      </c>
      <c r="I18" s="9">
        <v>788013.0</v>
      </c>
      <c r="J18" s="10">
        <f t="shared" si="1"/>
        <v>203585.1301</v>
      </c>
      <c r="K18" s="10">
        <f t="shared" si="2"/>
        <v>4655217.49</v>
      </c>
    </row>
    <row r="19">
      <c r="A19" s="2" t="s">
        <v>41</v>
      </c>
      <c r="B19" s="2">
        <v>2023.0</v>
      </c>
      <c r="C19" s="2">
        <v>2.0</v>
      </c>
      <c r="D19" s="7">
        <v>298021.0</v>
      </c>
      <c r="E19" s="7">
        <v>137.5</v>
      </c>
      <c r="F19" s="2">
        <v>1.0</v>
      </c>
      <c r="G19" s="7">
        <v>4.8</v>
      </c>
      <c r="H19" s="9">
        <v>3668371.9</v>
      </c>
      <c r="I19" s="9">
        <v>788013.0</v>
      </c>
      <c r="J19" s="10">
        <f t="shared" si="1"/>
        <v>216742.5455</v>
      </c>
      <c r="K19" s="10">
        <f t="shared" si="2"/>
        <v>4655217.49</v>
      </c>
    </row>
    <row r="20">
      <c r="A20" s="2" t="s">
        <v>41</v>
      </c>
      <c r="B20" s="2">
        <v>2023.0</v>
      </c>
      <c r="C20" s="2">
        <v>3.0</v>
      </c>
      <c r="D20" s="7">
        <v>291772.0</v>
      </c>
      <c r="E20" s="7">
        <v>141.9</v>
      </c>
      <c r="F20" s="2">
        <v>1.0</v>
      </c>
      <c r="G20" s="7">
        <v>4.8</v>
      </c>
      <c r="H20" s="9">
        <v>3668371.9</v>
      </c>
      <c r="I20" s="9">
        <v>788013.0</v>
      </c>
      <c r="J20" s="10">
        <f t="shared" si="1"/>
        <v>205618.0409</v>
      </c>
      <c r="K20" s="10">
        <f t="shared" si="2"/>
        <v>4655217.49</v>
      </c>
    </row>
    <row r="21" ht="15.75" customHeight="1">
      <c r="A21" s="2" t="s">
        <v>41</v>
      </c>
      <c r="B21" s="2">
        <v>2023.0</v>
      </c>
      <c r="C21" s="2">
        <v>4.0</v>
      </c>
      <c r="D21" s="7">
        <v>337752.0</v>
      </c>
      <c r="E21" s="7">
        <v>145.066666666667</v>
      </c>
      <c r="F21" s="2">
        <v>3.0</v>
      </c>
      <c r="G21" s="7">
        <v>4.7</v>
      </c>
      <c r="H21" s="9">
        <v>3668371.9</v>
      </c>
      <c r="I21" s="9">
        <v>788013.0</v>
      </c>
      <c r="J21" s="10">
        <f t="shared" si="1"/>
        <v>232825.3676</v>
      </c>
      <c r="K21" s="10">
        <f t="shared" si="2"/>
        <v>4655217.49</v>
      </c>
    </row>
    <row r="22" ht="15.75" customHeight="1">
      <c r="A22" s="2" t="s">
        <v>41</v>
      </c>
      <c r="B22" s="2">
        <v>2024.0</v>
      </c>
      <c r="C22" s="2">
        <v>1.0</v>
      </c>
      <c r="D22" s="7">
        <v>313253.0</v>
      </c>
      <c r="E22" s="7">
        <v>147.6</v>
      </c>
      <c r="F22" s="2">
        <v>2.0</v>
      </c>
      <c r="G22" s="7">
        <v>4.7</v>
      </c>
      <c r="H22" s="9">
        <v>4200170.2</v>
      </c>
      <c r="I22" s="9">
        <v>787981.0</v>
      </c>
      <c r="J22" s="10">
        <f t="shared" si="1"/>
        <v>212231.0298</v>
      </c>
      <c r="K22" s="10">
        <f t="shared" si="2"/>
        <v>5330293.751</v>
      </c>
    </row>
    <row r="23" ht="15.75" customHeight="1">
      <c r="A23" s="2" t="s">
        <v>41</v>
      </c>
      <c r="B23" s="2">
        <v>2024.0</v>
      </c>
      <c r="C23" s="2">
        <v>2.0</v>
      </c>
      <c r="D23" s="7">
        <v>330230.0</v>
      </c>
      <c r="E23" s="7">
        <v>150.9</v>
      </c>
      <c r="F23" s="2">
        <v>3.0</v>
      </c>
      <c r="G23" s="7">
        <v>4.6</v>
      </c>
      <c r="H23" s="9">
        <v>4200170.2</v>
      </c>
      <c r="I23" s="9">
        <v>787981.0</v>
      </c>
      <c r="J23" s="10">
        <f t="shared" si="1"/>
        <v>218840.2916</v>
      </c>
      <c r="K23" s="10">
        <f t="shared" si="2"/>
        <v>5330293.751</v>
      </c>
    </row>
    <row r="24" ht="15.75" customHeight="1">
      <c r="A24" s="2" t="s">
        <v>41</v>
      </c>
      <c r="B24" s="2">
        <v>2024.0</v>
      </c>
      <c r="C24" s="2">
        <v>3.0</v>
      </c>
      <c r="D24" s="7">
        <v>328210.0</v>
      </c>
      <c r="E24" s="7">
        <v>153.833333333333</v>
      </c>
      <c r="F24" s="2">
        <v>3.0</v>
      </c>
      <c r="G24" s="7">
        <v>4.5</v>
      </c>
      <c r="H24" s="9">
        <v>4200170.2</v>
      </c>
      <c r="I24" s="9">
        <v>787981.0</v>
      </c>
      <c r="J24" s="10">
        <f t="shared" si="1"/>
        <v>213354.2795</v>
      </c>
      <c r="K24" s="10">
        <f t="shared" si="2"/>
        <v>5330293.751</v>
      </c>
    </row>
    <row r="25" ht="15.75" customHeight="1">
      <c r="A25" s="2" t="s">
        <v>41</v>
      </c>
      <c r="B25" s="2">
        <v>2024.0</v>
      </c>
      <c r="C25" s="2">
        <v>4.0</v>
      </c>
      <c r="D25" s="7">
        <v>348095.0</v>
      </c>
      <c r="E25" s="7">
        <v>157.866666666667</v>
      </c>
      <c r="F25" s="2">
        <v>3.0</v>
      </c>
      <c r="G25" s="8"/>
      <c r="H25" s="9">
        <v>4200170.2</v>
      </c>
      <c r="I25" s="9">
        <v>787981.0</v>
      </c>
      <c r="J25" s="10">
        <f t="shared" si="1"/>
        <v>220499.3666</v>
      </c>
      <c r="K25" s="10">
        <f t="shared" si="2"/>
        <v>5330293.751</v>
      </c>
    </row>
    <row r="26" ht="15.75" customHeight="1">
      <c r="A26" s="2" t="s">
        <v>41</v>
      </c>
      <c r="B26" s="2">
        <v>2025.0</v>
      </c>
      <c r="C26" s="2">
        <v>1.0</v>
      </c>
      <c r="D26" s="7">
        <v>343471.0</v>
      </c>
      <c r="E26" s="7">
        <v>163.633333333333</v>
      </c>
      <c r="F26" s="2">
        <v>3.0</v>
      </c>
      <c r="G26" s="8"/>
      <c r="H26" s="9">
        <v>5158095.3</v>
      </c>
      <c r="I26" s="9">
        <v>787263.0</v>
      </c>
      <c r="J26" s="10">
        <f t="shared" si="1"/>
        <v>209902.8315</v>
      </c>
      <c r="K26" s="10">
        <f t="shared" si="2"/>
        <v>6551934.106</v>
      </c>
    </row>
    <row r="27" ht="15.75" customHeight="1">
      <c r="A27" s="2" t="s">
        <v>41</v>
      </c>
      <c r="B27" s="2">
        <v>2025.0</v>
      </c>
      <c r="C27" s="2">
        <v>2.0</v>
      </c>
      <c r="D27" s="7">
        <v>366971.0</v>
      </c>
      <c r="E27" s="7">
        <v>168.9</v>
      </c>
      <c r="F27" s="2">
        <v>3.0</v>
      </c>
      <c r="G27" s="8"/>
      <c r="H27" s="9">
        <v>5158095.3</v>
      </c>
      <c r="I27" s="9">
        <v>787263.0</v>
      </c>
      <c r="J27" s="10">
        <f t="shared" si="1"/>
        <v>217271.1664</v>
      </c>
      <c r="K27" s="10">
        <f t="shared" si="2"/>
        <v>6551934.106</v>
      </c>
    </row>
    <row r="28" ht="15.75" customHeight="1">
      <c r="A28" s="2" t="s">
        <v>41</v>
      </c>
      <c r="B28" s="2">
        <v>2025.0</v>
      </c>
      <c r="C28" s="2">
        <v>3.0</v>
      </c>
      <c r="D28" s="7">
        <v>366749.0</v>
      </c>
      <c r="E28" s="7">
        <v>173.666666666667</v>
      </c>
      <c r="F28" s="2">
        <v>3.0</v>
      </c>
      <c r="G28" s="8"/>
      <c r="H28" s="9">
        <v>5158095.3</v>
      </c>
      <c r="I28" s="9">
        <v>787263.0</v>
      </c>
      <c r="J28" s="10">
        <f t="shared" si="1"/>
        <v>211179.8464</v>
      </c>
      <c r="K28" s="10">
        <f t="shared" si="2"/>
        <v>6551934.106</v>
      </c>
    </row>
    <row r="29" ht="15.75" customHeight="1">
      <c r="A29" s="2" t="s">
        <v>41</v>
      </c>
      <c r="B29" s="2">
        <v>2025.0</v>
      </c>
      <c r="C29" s="2">
        <v>4.0</v>
      </c>
      <c r="D29" s="7">
        <v>408595.0</v>
      </c>
      <c r="E29" s="7">
        <v>179.266666666667</v>
      </c>
      <c r="F29" s="2">
        <v>3.0</v>
      </c>
      <c r="G29" s="8"/>
      <c r="H29" s="9">
        <v>5158095.3</v>
      </c>
      <c r="I29" s="9">
        <v>787263.0</v>
      </c>
      <c r="J29" s="10">
        <f t="shared" si="1"/>
        <v>227925.8089</v>
      </c>
      <c r="K29" s="10">
        <f t="shared" si="2"/>
        <v>6551934.106</v>
      </c>
    </row>
    <row r="30" ht="15.75" customHeight="1">
      <c r="A30" s="2" t="s">
        <v>41</v>
      </c>
      <c r="B30" s="2">
        <v>2026.0</v>
      </c>
      <c r="C30" s="2">
        <v>1.0</v>
      </c>
      <c r="D30" s="7">
        <v>378763.0</v>
      </c>
      <c r="E30" s="7">
        <v>184.833333333333</v>
      </c>
      <c r="F30" s="2">
        <v>3.0</v>
      </c>
      <c r="G30" s="8"/>
      <c r="H30" s="8"/>
      <c r="I30" s="8"/>
      <c r="J30" s="10">
        <f t="shared" si="1"/>
        <v>204921.3706</v>
      </c>
      <c r="K30" s="10" t="str">
        <f t="shared" si="2"/>
        <v/>
      </c>
    </row>
    <row r="31" ht="15.75" customHeight="1">
      <c r="A31" s="2" t="s">
        <v>41</v>
      </c>
      <c r="B31" s="2">
        <v>2026.0</v>
      </c>
      <c r="C31" s="2">
        <v>2.0</v>
      </c>
      <c r="D31" s="7">
        <v>406085.0</v>
      </c>
      <c r="E31" s="7">
        <v>190.0</v>
      </c>
      <c r="F31" s="2">
        <v>3.0</v>
      </c>
      <c r="G31" s="8"/>
      <c r="H31" s="8"/>
      <c r="I31" s="8"/>
      <c r="J31" s="10">
        <f t="shared" si="1"/>
        <v>213728.9474</v>
      </c>
      <c r="K31" s="10" t="str">
        <f t="shared" si="2"/>
        <v/>
      </c>
    </row>
    <row r="32" ht="15.75" customHeight="1">
      <c r="A32" s="2" t="s">
        <v>42</v>
      </c>
      <c r="B32" s="2">
        <v>2022.0</v>
      </c>
      <c r="C32" s="2">
        <v>4.0</v>
      </c>
      <c r="D32" s="7">
        <v>302824.0</v>
      </c>
      <c r="E32" s="8"/>
      <c r="F32" s="2"/>
      <c r="G32" s="7">
        <v>4.7</v>
      </c>
      <c r="H32" s="9">
        <v>4416899.4</v>
      </c>
      <c r="I32" s="9">
        <v>916750.0</v>
      </c>
      <c r="J32" s="10" t="str">
        <f t="shared" si="1"/>
        <v/>
      </c>
      <c r="K32" s="10">
        <f t="shared" si="2"/>
        <v>4817997.709</v>
      </c>
    </row>
    <row r="33" ht="15.75" customHeight="1">
      <c r="A33" s="2" t="s">
        <v>42</v>
      </c>
      <c r="B33" s="2">
        <v>2023.0</v>
      </c>
      <c r="C33" s="2">
        <v>1.0</v>
      </c>
      <c r="D33" s="7">
        <v>298067.0</v>
      </c>
      <c r="E33" s="7">
        <v>133.3</v>
      </c>
      <c r="F33" s="2">
        <v>2.0</v>
      </c>
      <c r="G33" s="7">
        <v>4.8</v>
      </c>
      <c r="H33" s="9">
        <v>4187587.9</v>
      </c>
      <c r="I33" s="9">
        <v>928159.0</v>
      </c>
      <c r="J33" s="10">
        <f t="shared" si="1"/>
        <v>223606.1515</v>
      </c>
      <c r="K33" s="10">
        <f t="shared" si="2"/>
        <v>4511713.941</v>
      </c>
    </row>
    <row r="34" ht="15.75" customHeight="1">
      <c r="A34" s="2" t="s">
        <v>42</v>
      </c>
      <c r="B34" s="2">
        <v>2023.0</v>
      </c>
      <c r="C34" s="2">
        <v>2.0</v>
      </c>
      <c r="D34" s="7">
        <v>325014.0</v>
      </c>
      <c r="E34" s="7">
        <v>136.2</v>
      </c>
      <c r="F34" s="2">
        <v>1.0</v>
      </c>
      <c r="G34" s="7">
        <v>4.8</v>
      </c>
      <c r="H34" s="9">
        <v>4187587.9</v>
      </c>
      <c r="I34" s="9">
        <v>928159.0</v>
      </c>
      <c r="J34" s="10">
        <f t="shared" si="1"/>
        <v>238629.9559</v>
      </c>
      <c r="K34" s="10">
        <f t="shared" si="2"/>
        <v>4511713.941</v>
      </c>
    </row>
    <row r="35" ht="15.75" customHeight="1">
      <c r="A35" s="2" t="s">
        <v>42</v>
      </c>
      <c r="B35" s="2">
        <v>2023.0</v>
      </c>
      <c r="C35" s="2">
        <v>3.0</v>
      </c>
      <c r="D35" s="7">
        <v>322666.0</v>
      </c>
      <c r="E35" s="7">
        <v>138.1</v>
      </c>
      <c r="F35" s="2">
        <v>1.0</v>
      </c>
      <c r="G35" s="7">
        <v>4.7</v>
      </c>
      <c r="H35" s="9">
        <v>4187587.9</v>
      </c>
      <c r="I35" s="9">
        <v>928159.0</v>
      </c>
      <c r="J35" s="10">
        <f t="shared" si="1"/>
        <v>233646.6329</v>
      </c>
      <c r="K35" s="10">
        <f t="shared" si="2"/>
        <v>4511713.941</v>
      </c>
    </row>
    <row r="36" ht="15.75" customHeight="1">
      <c r="A36" s="2" t="s">
        <v>42</v>
      </c>
      <c r="B36" s="2">
        <v>2023.0</v>
      </c>
      <c r="C36" s="2">
        <v>4.0</v>
      </c>
      <c r="D36" s="7">
        <v>361064.0</v>
      </c>
      <c r="E36" s="7">
        <v>141.4</v>
      </c>
      <c r="F36" s="2">
        <v>3.0</v>
      </c>
      <c r="G36" s="7">
        <v>4.7</v>
      </c>
      <c r="H36" s="9">
        <v>4187587.9</v>
      </c>
      <c r="I36" s="9">
        <v>928159.0</v>
      </c>
      <c r="J36" s="10">
        <f t="shared" si="1"/>
        <v>255349.3635</v>
      </c>
      <c r="K36" s="10">
        <f t="shared" si="2"/>
        <v>4511713.941</v>
      </c>
    </row>
    <row r="37" ht="15.75" customHeight="1">
      <c r="A37" s="2" t="s">
        <v>42</v>
      </c>
      <c r="B37" s="2">
        <v>2024.0</v>
      </c>
      <c r="C37" s="2">
        <v>1.0</v>
      </c>
      <c r="D37" s="7">
        <v>345949.0</v>
      </c>
      <c r="E37" s="7">
        <v>145.45</v>
      </c>
      <c r="F37" s="2">
        <v>2.0</v>
      </c>
      <c r="G37" s="7">
        <v>4.7</v>
      </c>
      <c r="H37" s="9">
        <v>4960038.0</v>
      </c>
      <c r="I37" s="9">
        <v>939405.0</v>
      </c>
      <c r="J37" s="10">
        <f t="shared" si="1"/>
        <v>237847.3702</v>
      </c>
      <c r="K37" s="10">
        <f t="shared" si="2"/>
        <v>5279978.284</v>
      </c>
    </row>
    <row r="38" ht="15.75" customHeight="1">
      <c r="A38" s="2" t="s">
        <v>42</v>
      </c>
      <c r="B38" s="2">
        <v>2024.0</v>
      </c>
      <c r="C38" s="2">
        <v>2.0</v>
      </c>
      <c r="D38" s="7">
        <v>370538.0</v>
      </c>
      <c r="E38" s="7">
        <v>147.866666666667</v>
      </c>
      <c r="F38" s="2">
        <v>3.0</v>
      </c>
      <c r="G38" s="7">
        <v>4.7</v>
      </c>
      <c r="H38" s="9">
        <v>4960038.0</v>
      </c>
      <c r="I38" s="9">
        <v>939405.0</v>
      </c>
      <c r="J38" s="10">
        <f t="shared" si="1"/>
        <v>250589.2696</v>
      </c>
      <c r="K38" s="10">
        <f t="shared" si="2"/>
        <v>5279978.284</v>
      </c>
    </row>
    <row r="39" ht="15.75" customHeight="1">
      <c r="A39" s="2" t="s">
        <v>42</v>
      </c>
      <c r="B39" s="2">
        <v>2024.0</v>
      </c>
      <c r="C39" s="2">
        <v>3.0</v>
      </c>
      <c r="D39" s="7">
        <v>368600.0</v>
      </c>
      <c r="E39" s="7">
        <v>150.033333333333</v>
      </c>
      <c r="F39" s="2">
        <v>3.0</v>
      </c>
      <c r="G39" s="7">
        <v>4.7</v>
      </c>
      <c r="H39" s="9">
        <v>4960038.0</v>
      </c>
      <c r="I39" s="9">
        <v>939405.0</v>
      </c>
      <c r="J39" s="10">
        <f t="shared" si="1"/>
        <v>245678.7381</v>
      </c>
      <c r="K39" s="10">
        <f t="shared" si="2"/>
        <v>5279978.284</v>
      </c>
    </row>
    <row r="40" ht="15.75" customHeight="1">
      <c r="A40" s="2" t="s">
        <v>42</v>
      </c>
      <c r="B40" s="2">
        <v>2024.0</v>
      </c>
      <c r="C40" s="2">
        <v>4.0</v>
      </c>
      <c r="D40" s="7">
        <v>406520.0</v>
      </c>
      <c r="E40" s="7">
        <v>153.5</v>
      </c>
      <c r="F40" s="2">
        <v>3.0</v>
      </c>
      <c r="G40" s="8"/>
      <c r="H40" s="9">
        <v>4960038.0</v>
      </c>
      <c r="I40" s="9">
        <v>939405.0</v>
      </c>
      <c r="J40" s="10">
        <f t="shared" si="1"/>
        <v>264833.8762</v>
      </c>
      <c r="K40" s="10">
        <f t="shared" si="2"/>
        <v>5279978.284</v>
      </c>
    </row>
    <row r="41" ht="15.75" customHeight="1">
      <c r="A41" s="2" t="s">
        <v>42</v>
      </c>
      <c r="B41" s="2">
        <v>2025.0</v>
      </c>
      <c r="C41" s="2">
        <v>1.0</v>
      </c>
      <c r="D41" s="7">
        <v>385569.0</v>
      </c>
      <c r="E41" s="7">
        <v>159.366666666667</v>
      </c>
      <c r="F41" s="2">
        <v>3.0</v>
      </c>
      <c r="G41" s="8"/>
      <c r="H41" s="9">
        <v>5246041.6</v>
      </c>
      <c r="I41" s="9">
        <v>949524.0</v>
      </c>
      <c r="J41" s="10">
        <f t="shared" si="1"/>
        <v>241938.2974</v>
      </c>
      <c r="K41" s="10">
        <f t="shared" si="2"/>
        <v>5524917.327</v>
      </c>
    </row>
    <row r="42" ht="15.75" customHeight="1">
      <c r="A42" s="2" t="s">
        <v>42</v>
      </c>
      <c r="B42" s="2">
        <v>2025.0</v>
      </c>
      <c r="C42" s="2">
        <v>2.0</v>
      </c>
      <c r="D42" s="7">
        <v>405140.0</v>
      </c>
      <c r="E42" s="7">
        <v>164.0</v>
      </c>
      <c r="F42" s="2">
        <v>3.0</v>
      </c>
      <c r="G42" s="8"/>
      <c r="H42" s="9">
        <v>5246041.6</v>
      </c>
      <c r="I42" s="9">
        <v>949524.0</v>
      </c>
      <c r="J42" s="10">
        <f t="shared" si="1"/>
        <v>247036.5854</v>
      </c>
      <c r="K42" s="10">
        <f t="shared" si="2"/>
        <v>5524917.327</v>
      </c>
    </row>
    <row r="43" ht="15.75" customHeight="1">
      <c r="A43" s="2" t="s">
        <v>42</v>
      </c>
      <c r="B43" s="2">
        <v>2025.0</v>
      </c>
      <c r="C43" s="2">
        <v>3.0</v>
      </c>
      <c r="D43" s="7">
        <v>401215.0</v>
      </c>
      <c r="E43" s="7">
        <v>168.9</v>
      </c>
      <c r="F43" s="2">
        <v>3.0</v>
      </c>
      <c r="G43" s="8"/>
      <c r="H43" s="9">
        <v>5246041.6</v>
      </c>
      <c r="I43" s="9">
        <v>949524.0</v>
      </c>
      <c r="J43" s="10">
        <f t="shared" si="1"/>
        <v>237545.8851</v>
      </c>
      <c r="K43" s="10">
        <f t="shared" si="2"/>
        <v>5524917.327</v>
      </c>
    </row>
    <row r="44" ht="15.75" customHeight="1">
      <c r="A44" s="2" t="s">
        <v>42</v>
      </c>
      <c r="B44" s="2">
        <v>2025.0</v>
      </c>
      <c r="C44" s="2">
        <v>4.0</v>
      </c>
      <c r="D44" s="7">
        <v>438484.0</v>
      </c>
      <c r="E44" s="7">
        <v>173.433333333333</v>
      </c>
      <c r="F44" s="2">
        <v>3.0</v>
      </c>
      <c r="G44" s="8"/>
      <c r="H44" s="9">
        <v>5246041.6</v>
      </c>
      <c r="I44" s="9">
        <v>949524.0</v>
      </c>
      <c r="J44" s="10">
        <f t="shared" si="1"/>
        <v>252825.6775</v>
      </c>
      <c r="K44" s="10">
        <f t="shared" si="2"/>
        <v>5524917.327</v>
      </c>
    </row>
    <row r="45" ht="15.75" customHeight="1">
      <c r="A45" s="2" t="s">
        <v>42</v>
      </c>
      <c r="B45" s="2">
        <v>2026.0</v>
      </c>
      <c r="C45" s="2">
        <v>1.0</v>
      </c>
      <c r="D45" s="7">
        <v>420239.0</v>
      </c>
      <c r="E45" s="7">
        <v>177.666666666667</v>
      </c>
      <c r="F45" s="2">
        <v>3.0</v>
      </c>
      <c r="G45" s="8"/>
      <c r="H45" s="8"/>
      <c r="I45" s="8"/>
      <c r="J45" s="10">
        <f t="shared" si="1"/>
        <v>236532.2702</v>
      </c>
      <c r="K45" s="10" t="str">
        <f t="shared" si="2"/>
        <v/>
      </c>
    </row>
    <row r="46" ht="15.75" customHeight="1">
      <c r="A46" s="2" t="s">
        <v>42</v>
      </c>
      <c r="B46" s="2">
        <v>2026.0</v>
      </c>
      <c r="C46" s="2">
        <v>2.0</v>
      </c>
      <c r="D46" s="7">
        <v>440520.0</v>
      </c>
      <c r="E46" s="7">
        <v>181.3</v>
      </c>
      <c r="F46" s="2">
        <v>3.0</v>
      </c>
      <c r="G46" s="8"/>
      <c r="H46" s="8"/>
      <c r="I46" s="8"/>
      <c r="J46" s="10">
        <f t="shared" si="1"/>
        <v>242978.4887</v>
      </c>
      <c r="K46" s="10" t="str">
        <f t="shared" si="2"/>
        <v/>
      </c>
    </row>
    <row r="47" ht="15.75" customHeight="1">
      <c r="A47" s="2" t="s">
        <v>43</v>
      </c>
      <c r="B47" s="2">
        <v>2022.0</v>
      </c>
      <c r="C47" s="2">
        <v>4.0</v>
      </c>
      <c r="D47" s="7">
        <v>271503.0</v>
      </c>
      <c r="E47" s="8"/>
      <c r="F47" s="2"/>
      <c r="G47" s="7">
        <v>4.9</v>
      </c>
      <c r="H47" s="9">
        <v>4267665.3</v>
      </c>
      <c r="I47" s="9">
        <v>1478496.0</v>
      </c>
      <c r="J47" s="10" t="str">
        <f t="shared" si="1"/>
        <v/>
      </c>
      <c r="K47" s="10">
        <f t="shared" si="2"/>
        <v>2886490.934</v>
      </c>
    </row>
    <row r="48" ht="15.75" customHeight="1">
      <c r="A48" s="2" t="s">
        <v>43</v>
      </c>
      <c r="B48" s="2">
        <v>2023.0</v>
      </c>
      <c r="C48" s="2">
        <v>1.0</v>
      </c>
      <c r="D48" s="7">
        <v>275843.0</v>
      </c>
      <c r="E48" s="7">
        <v>129.45</v>
      </c>
      <c r="F48" s="2">
        <v>2.0</v>
      </c>
      <c r="G48" s="7">
        <v>4.7</v>
      </c>
      <c r="H48" s="9">
        <v>5322132.0</v>
      </c>
      <c r="I48" s="9">
        <v>1505896.0</v>
      </c>
      <c r="J48" s="10">
        <f t="shared" si="1"/>
        <v>213088.4511</v>
      </c>
      <c r="K48" s="10">
        <f t="shared" si="2"/>
        <v>3534196.253</v>
      </c>
    </row>
    <row r="49" ht="15.75" customHeight="1">
      <c r="A49" s="2" t="s">
        <v>43</v>
      </c>
      <c r="B49" s="2">
        <v>2023.0</v>
      </c>
      <c r="C49" s="2">
        <v>2.0</v>
      </c>
      <c r="D49" s="7">
        <v>314111.0</v>
      </c>
      <c r="E49" s="7">
        <v>133.8</v>
      </c>
      <c r="F49" s="2">
        <v>1.0</v>
      </c>
      <c r="G49" s="7">
        <v>4.6</v>
      </c>
      <c r="H49" s="9">
        <v>5322132.0</v>
      </c>
      <c r="I49" s="9">
        <v>1505896.0</v>
      </c>
      <c r="J49" s="10">
        <f t="shared" si="1"/>
        <v>234761.5845</v>
      </c>
      <c r="K49" s="10">
        <f t="shared" si="2"/>
        <v>3534196.253</v>
      </c>
    </row>
    <row r="50" ht="15.75" customHeight="1">
      <c r="A50" s="2" t="s">
        <v>43</v>
      </c>
      <c r="B50" s="2">
        <v>2023.0</v>
      </c>
      <c r="C50" s="2">
        <v>3.0</v>
      </c>
      <c r="D50" s="7">
        <v>272694.0</v>
      </c>
      <c r="E50" s="7">
        <v>135.6</v>
      </c>
      <c r="F50" s="2">
        <v>1.0</v>
      </c>
      <c r="G50" s="7">
        <v>4.7</v>
      </c>
      <c r="H50" s="9">
        <v>5322132.0</v>
      </c>
      <c r="I50" s="9">
        <v>1505896.0</v>
      </c>
      <c r="J50" s="10">
        <f t="shared" si="1"/>
        <v>201101.7699</v>
      </c>
      <c r="K50" s="10">
        <f t="shared" si="2"/>
        <v>3534196.253</v>
      </c>
    </row>
    <row r="51" ht="15.75" customHeight="1">
      <c r="A51" s="2" t="s">
        <v>43</v>
      </c>
      <c r="B51" s="2">
        <v>2023.0</v>
      </c>
      <c r="C51" s="2">
        <v>4.0</v>
      </c>
      <c r="D51" s="7">
        <v>319473.0</v>
      </c>
      <c r="E51" s="7">
        <v>137.033333333333</v>
      </c>
      <c r="F51" s="2">
        <v>3.0</v>
      </c>
      <c r="G51" s="7">
        <v>4.7</v>
      </c>
      <c r="H51" s="9">
        <v>5322132.0</v>
      </c>
      <c r="I51" s="9">
        <v>1505896.0</v>
      </c>
      <c r="J51" s="10">
        <f t="shared" si="1"/>
        <v>233135.2469</v>
      </c>
      <c r="K51" s="10">
        <f t="shared" si="2"/>
        <v>3534196.253</v>
      </c>
    </row>
    <row r="52" ht="15.75" customHeight="1">
      <c r="A52" s="2" t="s">
        <v>43</v>
      </c>
      <c r="B52" s="2">
        <v>2024.0</v>
      </c>
      <c r="C52" s="2">
        <v>1.0</v>
      </c>
      <c r="D52" s="7">
        <v>309548.0</v>
      </c>
      <c r="E52" s="7">
        <v>140.25</v>
      </c>
      <c r="F52" s="2">
        <v>2.0</v>
      </c>
      <c r="G52" s="7">
        <v>4.6</v>
      </c>
      <c r="H52" s="9">
        <v>6040608.6</v>
      </c>
      <c r="I52" s="9">
        <v>1531167.0</v>
      </c>
      <c r="J52" s="10">
        <f t="shared" si="1"/>
        <v>220711.5865</v>
      </c>
      <c r="K52" s="10">
        <f t="shared" si="2"/>
        <v>3945101.09</v>
      </c>
    </row>
    <row r="53" ht="15.75" customHeight="1">
      <c r="A53" s="2" t="s">
        <v>43</v>
      </c>
      <c r="B53" s="2">
        <v>2024.0</v>
      </c>
      <c r="C53" s="2">
        <v>2.0</v>
      </c>
      <c r="D53" s="7">
        <v>339550.0</v>
      </c>
      <c r="E53" s="7">
        <v>142.033333333333</v>
      </c>
      <c r="F53" s="2">
        <v>3.0</v>
      </c>
      <c r="G53" s="7">
        <v>4.7</v>
      </c>
      <c r="H53" s="9">
        <v>6040608.6</v>
      </c>
      <c r="I53" s="9">
        <v>1531167.0</v>
      </c>
      <c r="J53" s="10">
        <f t="shared" si="1"/>
        <v>239063.6001</v>
      </c>
      <c r="K53" s="10">
        <f t="shared" si="2"/>
        <v>3945101.09</v>
      </c>
    </row>
    <row r="54" ht="15.75" customHeight="1">
      <c r="A54" s="2" t="s">
        <v>43</v>
      </c>
      <c r="B54" s="2">
        <v>2024.0</v>
      </c>
      <c r="C54" s="2">
        <v>3.0</v>
      </c>
      <c r="D54" s="7">
        <v>308314.0</v>
      </c>
      <c r="E54" s="7">
        <v>142.7</v>
      </c>
      <c r="F54" s="2">
        <v>3.0</v>
      </c>
      <c r="G54" s="7">
        <v>4.7</v>
      </c>
      <c r="H54" s="9">
        <v>6040608.6</v>
      </c>
      <c r="I54" s="9">
        <v>1531167.0</v>
      </c>
      <c r="J54" s="10">
        <f t="shared" si="1"/>
        <v>216057.4632</v>
      </c>
      <c r="K54" s="10">
        <f t="shared" si="2"/>
        <v>3945101.09</v>
      </c>
    </row>
    <row r="55" ht="15.75" customHeight="1">
      <c r="A55" s="2" t="s">
        <v>43</v>
      </c>
      <c r="B55" s="2">
        <v>2024.0</v>
      </c>
      <c r="C55" s="2">
        <v>4.0</v>
      </c>
      <c r="D55" s="7">
        <v>353691.0</v>
      </c>
      <c r="E55" s="7">
        <v>145.7</v>
      </c>
      <c r="F55" s="2">
        <v>3.0</v>
      </c>
      <c r="G55" s="8"/>
      <c r="H55" s="9">
        <v>6040608.6</v>
      </c>
      <c r="I55" s="9">
        <v>1531167.0</v>
      </c>
      <c r="J55" s="10">
        <f t="shared" si="1"/>
        <v>242752.917</v>
      </c>
      <c r="K55" s="10">
        <f t="shared" si="2"/>
        <v>3945101.09</v>
      </c>
    </row>
    <row r="56" ht="15.75" customHeight="1">
      <c r="A56" s="2" t="s">
        <v>43</v>
      </c>
      <c r="B56" s="2">
        <v>2025.0</v>
      </c>
      <c r="C56" s="2">
        <v>1.0</v>
      </c>
      <c r="D56" s="7">
        <v>339185.0</v>
      </c>
      <c r="E56" s="7">
        <v>150.3</v>
      </c>
      <c r="F56" s="2">
        <v>3.0</v>
      </c>
      <c r="G56" s="8"/>
      <c r="H56" s="9">
        <v>6792939.5</v>
      </c>
      <c r="I56" s="9">
        <v>1560124.0</v>
      </c>
      <c r="J56" s="10">
        <f t="shared" si="1"/>
        <v>225671.9894</v>
      </c>
      <c r="K56" s="10">
        <f t="shared" si="2"/>
        <v>4354102.302</v>
      </c>
    </row>
    <row r="57" ht="15.75" customHeight="1">
      <c r="A57" s="2" t="s">
        <v>43</v>
      </c>
      <c r="B57" s="2">
        <v>2025.0</v>
      </c>
      <c r="C57" s="2">
        <v>2.0</v>
      </c>
      <c r="D57" s="7">
        <v>389205.0</v>
      </c>
      <c r="E57" s="7">
        <v>155.1</v>
      </c>
      <c r="F57" s="2">
        <v>3.0</v>
      </c>
      <c r="G57" s="8"/>
      <c r="H57" s="9">
        <v>6792939.5</v>
      </c>
      <c r="I57" s="9">
        <v>1560124.0</v>
      </c>
      <c r="J57" s="10">
        <f t="shared" si="1"/>
        <v>250938.1044</v>
      </c>
      <c r="K57" s="10">
        <f t="shared" si="2"/>
        <v>4354102.302</v>
      </c>
    </row>
    <row r="58" ht="15.75" customHeight="1">
      <c r="A58" s="2" t="s">
        <v>43</v>
      </c>
      <c r="B58" s="2">
        <v>2025.0</v>
      </c>
      <c r="C58" s="2">
        <v>3.0</v>
      </c>
      <c r="D58" s="7">
        <v>343625.0</v>
      </c>
      <c r="E58" s="7">
        <v>159.633333333333</v>
      </c>
      <c r="F58" s="2">
        <v>3.0</v>
      </c>
      <c r="G58" s="8"/>
      <c r="H58" s="9">
        <v>6792939.5</v>
      </c>
      <c r="I58" s="9">
        <v>1560124.0</v>
      </c>
      <c r="J58" s="10">
        <f t="shared" si="1"/>
        <v>215258.9267</v>
      </c>
      <c r="K58" s="10">
        <f t="shared" si="2"/>
        <v>4354102.302</v>
      </c>
    </row>
    <row r="59" ht="15.75" customHeight="1">
      <c r="A59" s="2" t="s">
        <v>43</v>
      </c>
      <c r="B59" s="2">
        <v>2025.0</v>
      </c>
      <c r="C59" s="2">
        <v>4.0</v>
      </c>
      <c r="D59" s="7">
        <v>386257.0</v>
      </c>
      <c r="E59" s="7">
        <v>164.133333333333</v>
      </c>
      <c r="F59" s="2">
        <v>3.0</v>
      </c>
      <c r="G59" s="8"/>
      <c r="H59" s="9">
        <v>6792939.5</v>
      </c>
      <c r="I59" s="9">
        <v>1560124.0</v>
      </c>
      <c r="J59" s="10">
        <f t="shared" si="1"/>
        <v>235331.2348</v>
      </c>
      <c r="K59" s="10">
        <f t="shared" si="2"/>
        <v>4354102.302</v>
      </c>
    </row>
    <row r="60" ht="15.75" customHeight="1">
      <c r="A60" s="2" t="s">
        <v>43</v>
      </c>
      <c r="B60" s="2">
        <v>2026.0</v>
      </c>
      <c r="C60" s="2">
        <v>1.0</v>
      </c>
      <c r="D60" s="7">
        <v>376012.0</v>
      </c>
      <c r="E60" s="7">
        <v>168.333333333333</v>
      </c>
      <c r="F60" s="2">
        <v>3.0</v>
      </c>
      <c r="G60" s="8"/>
      <c r="H60" s="8"/>
      <c r="I60" s="8"/>
      <c r="J60" s="10">
        <f t="shared" si="1"/>
        <v>223373.4653</v>
      </c>
      <c r="K60" s="10" t="str">
        <f t="shared" si="2"/>
        <v/>
      </c>
    </row>
    <row r="61" ht="15.75" customHeight="1">
      <c r="A61" s="2" t="s">
        <v>43</v>
      </c>
      <c r="B61" s="2">
        <v>2026.0</v>
      </c>
      <c r="C61" s="2">
        <v>2.0</v>
      </c>
      <c r="D61" s="7">
        <v>401457.0</v>
      </c>
      <c r="E61" s="7">
        <v>172.0</v>
      </c>
      <c r="F61" s="2">
        <v>3.0</v>
      </c>
      <c r="G61" s="8"/>
      <c r="H61" s="8"/>
      <c r="I61" s="8"/>
      <c r="J61" s="10">
        <f t="shared" si="1"/>
        <v>233405.2326</v>
      </c>
      <c r="K61" s="10" t="str">
        <f t="shared" si="2"/>
        <v/>
      </c>
    </row>
    <row r="62" ht="15.75" customHeight="1">
      <c r="A62" s="2" t="s">
        <v>44</v>
      </c>
      <c r="B62" s="2">
        <v>2022.0</v>
      </c>
      <c r="C62" s="2">
        <v>4.0</v>
      </c>
      <c r="D62" s="7">
        <v>394213.0</v>
      </c>
      <c r="E62" s="8"/>
      <c r="F62" s="2"/>
      <c r="G62" s="7">
        <v>4.9</v>
      </c>
      <c r="H62" s="9">
        <v>1.91545367E7</v>
      </c>
      <c r="I62" s="9">
        <v>2101485.0</v>
      </c>
      <c r="J62" s="10" t="str">
        <f t="shared" si="1"/>
        <v/>
      </c>
      <c r="K62" s="10">
        <f t="shared" si="2"/>
        <v>9114762.513</v>
      </c>
    </row>
    <row r="63" ht="15.75" customHeight="1">
      <c r="A63" s="2" t="s">
        <v>44</v>
      </c>
      <c r="B63" s="2">
        <v>2023.0</v>
      </c>
      <c r="C63" s="2">
        <v>1.0</v>
      </c>
      <c r="D63" s="7">
        <v>390322.0</v>
      </c>
      <c r="E63" s="7">
        <v>131.95</v>
      </c>
      <c r="F63" s="2">
        <v>2.0</v>
      </c>
      <c r="G63" s="7">
        <v>4.9</v>
      </c>
      <c r="H63" s="9">
        <v>2.52297068E7</v>
      </c>
      <c r="I63" s="9">
        <v>2161901.0</v>
      </c>
      <c r="J63" s="10">
        <f t="shared" si="1"/>
        <v>295810.5343</v>
      </c>
      <c r="K63" s="10">
        <f t="shared" si="2"/>
        <v>11670149</v>
      </c>
    </row>
    <row r="64" ht="15.75" customHeight="1">
      <c r="A64" s="2" t="s">
        <v>44</v>
      </c>
      <c r="B64" s="2">
        <v>2023.0</v>
      </c>
      <c r="C64" s="2">
        <v>2.0</v>
      </c>
      <c r="D64" s="7">
        <v>420380.0</v>
      </c>
      <c r="E64" s="7">
        <v>135.2</v>
      </c>
      <c r="F64" s="2">
        <v>1.0</v>
      </c>
      <c r="G64" s="7">
        <v>4.8</v>
      </c>
      <c r="H64" s="9">
        <v>2.52297068E7</v>
      </c>
      <c r="I64" s="9">
        <v>2161901.0</v>
      </c>
      <c r="J64" s="10">
        <f t="shared" si="1"/>
        <v>310931.9527</v>
      </c>
      <c r="K64" s="10">
        <f t="shared" si="2"/>
        <v>11670149</v>
      </c>
    </row>
    <row r="65" ht="15.75" customHeight="1">
      <c r="A65" s="2" t="s">
        <v>44</v>
      </c>
      <c r="B65" s="2">
        <v>2023.0</v>
      </c>
      <c r="C65" s="2">
        <v>3.0</v>
      </c>
      <c r="D65" s="7">
        <v>409000.0</v>
      </c>
      <c r="E65" s="7">
        <v>139.2</v>
      </c>
      <c r="F65" s="2">
        <v>1.0</v>
      </c>
      <c r="G65" s="7">
        <v>4.8</v>
      </c>
      <c r="H65" s="9">
        <v>2.52297068E7</v>
      </c>
      <c r="I65" s="9">
        <v>2161901.0</v>
      </c>
      <c r="J65" s="10">
        <f t="shared" si="1"/>
        <v>293821.8391</v>
      </c>
      <c r="K65" s="10">
        <f t="shared" si="2"/>
        <v>11670149</v>
      </c>
    </row>
    <row r="66" ht="15.75" customHeight="1">
      <c r="A66" s="2" t="s">
        <v>44</v>
      </c>
      <c r="B66" s="2">
        <v>2023.0</v>
      </c>
      <c r="C66" s="2">
        <v>4.0</v>
      </c>
      <c r="D66" s="7">
        <v>474550.0</v>
      </c>
      <c r="E66" s="7">
        <v>142.1</v>
      </c>
      <c r="F66" s="2">
        <v>3.0</v>
      </c>
      <c r="G66" s="7">
        <v>4.7</v>
      </c>
      <c r="H66" s="9">
        <v>2.52297068E7</v>
      </c>
      <c r="I66" s="9">
        <v>2161901.0</v>
      </c>
      <c r="J66" s="10">
        <f t="shared" si="1"/>
        <v>333954.9613</v>
      </c>
      <c r="K66" s="10">
        <f t="shared" si="2"/>
        <v>11670149</v>
      </c>
    </row>
    <row r="67" ht="15.75" customHeight="1">
      <c r="A67" s="2" t="s">
        <v>44</v>
      </c>
      <c r="B67" s="2">
        <v>2024.0</v>
      </c>
      <c r="C67" s="2">
        <v>1.0</v>
      </c>
      <c r="D67" s="7">
        <v>454172.0</v>
      </c>
      <c r="E67" s="7">
        <v>145.45</v>
      </c>
      <c r="F67" s="2">
        <v>2.0</v>
      </c>
      <c r="G67" s="7">
        <v>4.7</v>
      </c>
      <c r="H67" s="9">
        <v>3.12944667E7</v>
      </c>
      <c r="I67" s="9">
        <v>2228675.0</v>
      </c>
      <c r="J67" s="10">
        <f t="shared" si="1"/>
        <v>312253.0079</v>
      </c>
      <c r="K67" s="10">
        <f t="shared" si="2"/>
        <v>14041736.32</v>
      </c>
    </row>
    <row r="68" ht="15.75" customHeight="1">
      <c r="A68" s="2" t="s">
        <v>44</v>
      </c>
      <c r="B68" s="2">
        <v>2024.0</v>
      </c>
      <c r="C68" s="2">
        <v>2.0</v>
      </c>
      <c r="D68" s="7">
        <v>480431.0</v>
      </c>
      <c r="E68" s="7">
        <v>147.8</v>
      </c>
      <c r="F68" s="2">
        <v>3.0</v>
      </c>
      <c r="G68" s="7">
        <v>4.6</v>
      </c>
      <c r="H68" s="9">
        <v>3.12944667E7</v>
      </c>
      <c r="I68" s="9">
        <v>2228675.0</v>
      </c>
      <c r="J68" s="10">
        <f t="shared" si="1"/>
        <v>325054.8038</v>
      </c>
      <c r="K68" s="10">
        <f t="shared" si="2"/>
        <v>14041736.32</v>
      </c>
    </row>
    <row r="69" ht="15.75" customHeight="1">
      <c r="A69" s="2" t="s">
        <v>44</v>
      </c>
      <c r="B69" s="2">
        <v>2024.0</v>
      </c>
      <c r="C69" s="2">
        <v>3.0</v>
      </c>
      <c r="D69" s="7">
        <v>471264.0</v>
      </c>
      <c r="E69" s="7">
        <v>150.766666666667</v>
      </c>
      <c r="F69" s="2">
        <v>3.0</v>
      </c>
      <c r="G69" s="7">
        <v>4.6</v>
      </c>
      <c r="H69" s="9">
        <v>3.12944667E7</v>
      </c>
      <c r="I69" s="9">
        <v>2228675.0</v>
      </c>
      <c r="J69" s="10">
        <f t="shared" si="1"/>
        <v>312578.3772</v>
      </c>
      <c r="K69" s="10">
        <f t="shared" si="2"/>
        <v>14041736.32</v>
      </c>
    </row>
    <row r="70" ht="15.75" customHeight="1">
      <c r="A70" s="2" t="s">
        <v>44</v>
      </c>
      <c r="B70" s="2">
        <v>2024.0</v>
      </c>
      <c r="C70" s="2">
        <v>4.0</v>
      </c>
      <c r="D70" s="7">
        <v>539125.0</v>
      </c>
      <c r="E70" s="7">
        <v>155.2</v>
      </c>
      <c r="F70" s="2">
        <v>3.0</v>
      </c>
      <c r="G70" s="8"/>
      <c r="H70" s="9">
        <v>3.12944667E7</v>
      </c>
      <c r="I70" s="9">
        <v>2228675.0</v>
      </c>
      <c r="J70" s="10">
        <f t="shared" si="1"/>
        <v>347374.3557</v>
      </c>
      <c r="K70" s="10">
        <f t="shared" si="2"/>
        <v>14041736.32</v>
      </c>
    </row>
    <row r="71" ht="15.75" customHeight="1">
      <c r="A71" s="2" t="s">
        <v>44</v>
      </c>
      <c r="B71" s="2">
        <v>2025.0</v>
      </c>
      <c r="C71" s="2">
        <v>1.0</v>
      </c>
      <c r="D71" s="7">
        <v>518857.0</v>
      </c>
      <c r="E71" s="7">
        <v>159.8</v>
      </c>
      <c r="F71" s="2">
        <v>3.0</v>
      </c>
      <c r="G71" s="8"/>
      <c r="H71" s="9">
        <v>3.61957609E7</v>
      </c>
      <c r="I71" s="9">
        <v>2292055.0</v>
      </c>
      <c r="J71" s="10">
        <f t="shared" si="1"/>
        <v>324691.4894</v>
      </c>
      <c r="K71" s="10">
        <f t="shared" si="2"/>
        <v>15791837.85</v>
      </c>
    </row>
    <row r="72" ht="15.75" customHeight="1">
      <c r="A72" s="2" t="s">
        <v>44</v>
      </c>
      <c r="B72" s="2">
        <v>2025.0</v>
      </c>
      <c r="C72" s="2">
        <v>2.0</v>
      </c>
      <c r="D72" s="7">
        <v>553705.0</v>
      </c>
      <c r="E72" s="7">
        <v>166.733333333333</v>
      </c>
      <c r="F72" s="2">
        <v>3.0</v>
      </c>
      <c r="G72" s="8"/>
      <c r="H72" s="9">
        <v>3.61957609E7</v>
      </c>
      <c r="I72" s="9">
        <v>2292055.0</v>
      </c>
      <c r="J72" s="10">
        <f t="shared" si="1"/>
        <v>332090.1639</v>
      </c>
      <c r="K72" s="10">
        <f t="shared" si="2"/>
        <v>15791837.85</v>
      </c>
    </row>
    <row r="73" ht="15.75" customHeight="1">
      <c r="A73" s="2" t="s">
        <v>44</v>
      </c>
      <c r="B73" s="2">
        <v>2025.0</v>
      </c>
      <c r="C73" s="2">
        <v>3.0</v>
      </c>
      <c r="D73" s="7">
        <v>546261.0</v>
      </c>
      <c r="E73" s="7">
        <v>170.366666666667</v>
      </c>
      <c r="F73" s="2">
        <v>3.0</v>
      </c>
      <c r="G73" s="8"/>
      <c r="H73" s="9">
        <v>3.61957609E7</v>
      </c>
      <c r="I73" s="9">
        <v>2292055.0</v>
      </c>
      <c r="J73" s="10">
        <f t="shared" si="1"/>
        <v>320638.4269</v>
      </c>
      <c r="K73" s="10">
        <f t="shared" si="2"/>
        <v>15791837.85</v>
      </c>
    </row>
    <row r="74" ht="15.75" customHeight="1">
      <c r="A74" s="2" t="s">
        <v>44</v>
      </c>
      <c r="B74" s="2">
        <v>2025.0</v>
      </c>
      <c r="C74" s="2">
        <v>4.0</v>
      </c>
      <c r="D74" s="7">
        <v>601126.0</v>
      </c>
      <c r="E74" s="7">
        <v>172.966666666667</v>
      </c>
      <c r="F74" s="2">
        <v>3.0</v>
      </c>
      <c r="G74" s="8"/>
      <c r="H74" s="9">
        <v>3.61957609E7</v>
      </c>
      <c r="I74" s="9">
        <v>2292055.0</v>
      </c>
      <c r="J74" s="10">
        <f t="shared" si="1"/>
        <v>347538.6394</v>
      </c>
      <c r="K74" s="10">
        <f t="shared" si="2"/>
        <v>15791837.85</v>
      </c>
    </row>
    <row r="75" ht="15.75" customHeight="1">
      <c r="A75" s="2" t="s">
        <v>44</v>
      </c>
      <c r="B75" s="2">
        <v>2026.0</v>
      </c>
      <c r="C75" s="2">
        <v>1.0</v>
      </c>
      <c r="D75" s="7">
        <v>574162.0</v>
      </c>
      <c r="E75" s="7">
        <v>177.766666666667</v>
      </c>
      <c r="F75" s="2">
        <v>3.0</v>
      </c>
      <c r="G75" s="8"/>
      <c r="H75" s="8"/>
      <c r="I75" s="8"/>
      <c r="J75" s="10">
        <f t="shared" si="1"/>
        <v>322986.3116</v>
      </c>
      <c r="K75" s="10" t="str">
        <f t="shared" si="2"/>
        <v/>
      </c>
    </row>
    <row r="76" ht="15.75" customHeight="1">
      <c r="A76" s="2" t="s">
        <v>44</v>
      </c>
      <c r="B76" s="2">
        <v>2026.0</v>
      </c>
      <c r="C76" s="2">
        <v>2.0</v>
      </c>
      <c r="D76" s="7">
        <v>610371.0</v>
      </c>
      <c r="E76" s="7">
        <v>182.2</v>
      </c>
      <c r="F76" s="2">
        <v>3.0</v>
      </c>
      <c r="G76" s="8"/>
      <c r="H76" s="8"/>
      <c r="I76" s="8"/>
      <c r="J76" s="10">
        <f t="shared" si="1"/>
        <v>335000.5488</v>
      </c>
      <c r="K76" s="10" t="str">
        <f t="shared" si="2"/>
        <v/>
      </c>
    </row>
    <row r="77" ht="15.75" customHeight="1">
      <c r="A77" s="2" t="s">
        <v>45</v>
      </c>
      <c r="B77" s="2">
        <v>2022.0</v>
      </c>
      <c r="C77" s="2">
        <v>4.0</v>
      </c>
      <c r="D77" s="7">
        <v>469300.0</v>
      </c>
      <c r="E77" s="8"/>
      <c r="F77" s="2"/>
      <c r="G77" s="7">
        <v>4.5</v>
      </c>
      <c r="H77" s="9">
        <v>1.06724805E7</v>
      </c>
      <c r="I77" s="9">
        <v>1295711.0</v>
      </c>
      <c r="J77" s="10" t="str">
        <f t="shared" si="1"/>
        <v/>
      </c>
      <c r="K77" s="10">
        <f t="shared" si="2"/>
        <v>8236775.407</v>
      </c>
    </row>
    <row r="78" ht="15.75" customHeight="1">
      <c r="A78" s="2" t="s">
        <v>45</v>
      </c>
      <c r="B78" s="2">
        <v>2023.0</v>
      </c>
      <c r="C78" s="2">
        <v>1.0</v>
      </c>
      <c r="D78" s="7">
        <v>432197.0</v>
      </c>
      <c r="E78" s="7">
        <v>135.85</v>
      </c>
      <c r="F78" s="2">
        <v>2.0</v>
      </c>
      <c r="G78" s="7">
        <v>4.5</v>
      </c>
      <c r="H78" s="9">
        <v>1.2960836E7</v>
      </c>
      <c r="I78" s="9">
        <v>1354559.0</v>
      </c>
      <c r="J78" s="10">
        <f t="shared" si="1"/>
        <v>318142.8046</v>
      </c>
      <c r="K78" s="10">
        <f t="shared" si="2"/>
        <v>9568306.733</v>
      </c>
    </row>
    <row r="79" ht="15.75" customHeight="1">
      <c r="A79" s="2" t="s">
        <v>45</v>
      </c>
      <c r="B79" s="2">
        <v>2023.0</v>
      </c>
      <c r="C79" s="2">
        <v>2.0</v>
      </c>
      <c r="D79" s="7">
        <v>467121.0</v>
      </c>
      <c r="E79" s="7">
        <v>137.8</v>
      </c>
      <c r="F79" s="2">
        <v>1.0</v>
      </c>
      <c r="G79" s="7">
        <v>4.5</v>
      </c>
      <c r="H79" s="9">
        <v>1.2960836E7</v>
      </c>
      <c r="I79" s="9">
        <v>1354559.0</v>
      </c>
      <c r="J79" s="10">
        <f t="shared" si="1"/>
        <v>338984.7605</v>
      </c>
      <c r="K79" s="10">
        <f t="shared" si="2"/>
        <v>9568306.733</v>
      </c>
    </row>
    <row r="80" ht="15.75" customHeight="1">
      <c r="A80" s="2" t="s">
        <v>45</v>
      </c>
      <c r="B80" s="2">
        <v>2023.0</v>
      </c>
      <c r="C80" s="2">
        <v>3.0</v>
      </c>
      <c r="D80" s="7">
        <v>449873.0</v>
      </c>
      <c r="E80" s="7">
        <v>141.1</v>
      </c>
      <c r="F80" s="2">
        <v>1.0</v>
      </c>
      <c r="G80" s="7">
        <v>4.4</v>
      </c>
      <c r="H80" s="9">
        <v>1.2960836E7</v>
      </c>
      <c r="I80" s="9">
        <v>1354559.0</v>
      </c>
      <c r="J80" s="10">
        <f t="shared" si="1"/>
        <v>318832.7427</v>
      </c>
      <c r="K80" s="10">
        <f t="shared" si="2"/>
        <v>9568306.733</v>
      </c>
    </row>
    <row r="81" ht="15.75" customHeight="1">
      <c r="A81" s="2" t="s">
        <v>45</v>
      </c>
      <c r="B81" s="2">
        <v>2023.0</v>
      </c>
      <c r="C81" s="2">
        <v>4.0</v>
      </c>
      <c r="D81" s="7">
        <v>549977.0</v>
      </c>
      <c r="E81" s="7">
        <v>144.333333333333</v>
      </c>
      <c r="F81" s="2">
        <v>3.0</v>
      </c>
      <c r="G81" s="7">
        <v>4.5</v>
      </c>
      <c r="H81" s="9">
        <v>1.2960836E7</v>
      </c>
      <c r="I81" s="9">
        <v>1354559.0</v>
      </c>
      <c r="J81" s="10">
        <f t="shared" si="1"/>
        <v>381046.4203</v>
      </c>
      <c r="K81" s="10">
        <f t="shared" si="2"/>
        <v>9568306.733</v>
      </c>
    </row>
    <row r="82" ht="15.75" customHeight="1">
      <c r="A82" s="2" t="s">
        <v>45</v>
      </c>
      <c r="B82" s="2">
        <v>2024.0</v>
      </c>
      <c r="C82" s="2">
        <v>1.0</v>
      </c>
      <c r="D82" s="7">
        <v>494011.0</v>
      </c>
      <c r="E82" s="7">
        <v>148.5</v>
      </c>
      <c r="F82" s="2">
        <v>2.0</v>
      </c>
      <c r="G82" s="7">
        <v>4.5</v>
      </c>
      <c r="H82" s="9">
        <v>1.5051922E7</v>
      </c>
      <c r="I82" s="9">
        <v>1430105.0</v>
      </c>
      <c r="J82" s="10">
        <f t="shared" si="1"/>
        <v>332667.3401</v>
      </c>
      <c r="K82" s="10">
        <f t="shared" si="2"/>
        <v>10525046.76</v>
      </c>
    </row>
    <row r="83" ht="15.75" customHeight="1">
      <c r="A83" s="2" t="s">
        <v>45</v>
      </c>
      <c r="B83" s="2">
        <v>2024.0</v>
      </c>
      <c r="C83" s="2">
        <v>2.0</v>
      </c>
      <c r="D83" s="7">
        <v>518495.0</v>
      </c>
      <c r="E83" s="7">
        <v>152.2</v>
      </c>
      <c r="F83" s="2">
        <v>3.0</v>
      </c>
      <c r="G83" s="7">
        <v>4.5</v>
      </c>
      <c r="H83" s="9">
        <v>1.5051922E7</v>
      </c>
      <c r="I83" s="9">
        <v>1430105.0</v>
      </c>
      <c r="J83" s="10">
        <f t="shared" si="1"/>
        <v>340666.8857</v>
      </c>
      <c r="K83" s="10">
        <f t="shared" si="2"/>
        <v>10525046.76</v>
      </c>
    </row>
    <row r="84" ht="15.75" customHeight="1">
      <c r="A84" s="2" t="s">
        <v>45</v>
      </c>
      <c r="B84" s="2">
        <v>2024.0</v>
      </c>
      <c r="C84" s="2">
        <v>3.0</v>
      </c>
      <c r="D84" s="7">
        <v>504212.0</v>
      </c>
      <c r="E84" s="7">
        <v>156.066666666667</v>
      </c>
      <c r="F84" s="2">
        <v>3.0</v>
      </c>
      <c r="G84" s="7">
        <v>4.4</v>
      </c>
      <c r="H84" s="9">
        <v>1.5051922E7</v>
      </c>
      <c r="I84" s="9">
        <v>1430105.0</v>
      </c>
      <c r="J84" s="10">
        <f t="shared" si="1"/>
        <v>323074.7544</v>
      </c>
      <c r="K84" s="10">
        <f t="shared" si="2"/>
        <v>10525046.76</v>
      </c>
    </row>
    <row r="85" ht="15.75" customHeight="1">
      <c r="A85" s="2" t="s">
        <v>45</v>
      </c>
      <c r="B85" s="2">
        <v>2024.0</v>
      </c>
      <c r="C85" s="2">
        <v>4.0</v>
      </c>
      <c r="D85" s="7">
        <v>604104.0</v>
      </c>
      <c r="E85" s="7">
        <v>159.333333333333</v>
      </c>
      <c r="F85" s="2">
        <v>3.0</v>
      </c>
      <c r="G85" s="8"/>
      <c r="H85" s="9">
        <v>1.5051922E7</v>
      </c>
      <c r="I85" s="9">
        <v>1430105.0</v>
      </c>
      <c r="J85" s="10">
        <f t="shared" si="1"/>
        <v>379144.7699</v>
      </c>
      <c r="K85" s="10">
        <f t="shared" si="2"/>
        <v>10525046.76</v>
      </c>
    </row>
    <row r="86" ht="15.75" customHeight="1">
      <c r="A86" s="2" t="s">
        <v>45</v>
      </c>
      <c r="B86" s="2">
        <v>2025.0</v>
      </c>
      <c r="C86" s="2">
        <v>1.0</v>
      </c>
      <c r="D86" s="7">
        <v>563309.0</v>
      </c>
      <c r="E86" s="7">
        <v>167.333333333333</v>
      </c>
      <c r="F86" s="2">
        <v>3.0</v>
      </c>
      <c r="G86" s="8"/>
      <c r="H86" s="9">
        <v>1.95933274E7</v>
      </c>
      <c r="I86" s="9">
        <v>1528703.0</v>
      </c>
      <c r="J86" s="10">
        <f t="shared" si="1"/>
        <v>336638.8446</v>
      </c>
      <c r="K86" s="10">
        <f t="shared" si="2"/>
        <v>12816961.44</v>
      </c>
    </row>
    <row r="87" ht="15.75" customHeight="1">
      <c r="A87" s="2" t="s">
        <v>45</v>
      </c>
      <c r="B87" s="2">
        <v>2025.0</v>
      </c>
      <c r="C87" s="2">
        <v>2.0</v>
      </c>
      <c r="D87" s="7">
        <v>598267.0</v>
      </c>
      <c r="E87" s="7">
        <v>172.366666666667</v>
      </c>
      <c r="F87" s="2">
        <v>3.0</v>
      </c>
      <c r="G87" s="8"/>
      <c r="H87" s="9">
        <v>1.95933274E7</v>
      </c>
      <c r="I87" s="9">
        <v>1528703.0</v>
      </c>
      <c r="J87" s="10">
        <f t="shared" si="1"/>
        <v>347089.7312</v>
      </c>
      <c r="K87" s="10">
        <f t="shared" si="2"/>
        <v>12816961.44</v>
      </c>
    </row>
    <row r="88" ht="15.75" customHeight="1">
      <c r="A88" s="2" t="s">
        <v>45</v>
      </c>
      <c r="B88" s="2">
        <v>2025.0</v>
      </c>
      <c r="C88" s="2">
        <v>3.0</v>
      </c>
      <c r="D88" s="7">
        <v>569647.0</v>
      </c>
      <c r="E88" s="7">
        <v>176.1</v>
      </c>
      <c r="F88" s="2">
        <v>3.0</v>
      </c>
      <c r="G88" s="8"/>
      <c r="H88" s="9">
        <v>1.95933274E7</v>
      </c>
      <c r="I88" s="9">
        <v>1528703.0</v>
      </c>
      <c r="J88" s="10">
        <f t="shared" si="1"/>
        <v>323479.2731</v>
      </c>
      <c r="K88" s="10">
        <f t="shared" si="2"/>
        <v>12816961.44</v>
      </c>
    </row>
    <row r="89" ht="15.75" customHeight="1">
      <c r="A89" s="2" t="s">
        <v>45</v>
      </c>
      <c r="B89" s="2">
        <v>2025.0</v>
      </c>
      <c r="C89" s="2">
        <v>4.0</v>
      </c>
      <c r="D89" s="7">
        <v>659610.0</v>
      </c>
      <c r="E89" s="7">
        <v>179.566666666667</v>
      </c>
      <c r="F89" s="2">
        <v>3.0</v>
      </c>
      <c r="G89" s="8"/>
      <c r="H89" s="9">
        <v>1.95933274E7</v>
      </c>
      <c r="I89" s="9">
        <v>1528703.0</v>
      </c>
      <c r="J89" s="10">
        <f t="shared" si="1"/>
        <v>367334.3234</v>
      </c>
      <c r="K89" s="10">
        <f t="shared" si="2"/>
        <v>12816961.44</v>
      </c>
    </row>
    <row r="90" ht="15.75" customHeight="1">
      <c r="A90" s="2" t="s">
        <v>45</v>
      </c>
      <c r="B90" s="2">
        <v>2026.0</v>
      </c>
      <c r="C90" s="2">
        <v>1.0</v>
      </c>
      <c r="D90" s="7">
        <v>609725.0</v>
      </c>
      <c r="E90" s="7">
        <v>184.466666666667</v>
      </c>
      <c r="F90" s="2">
        <v>3.0</v>
      </c>
      <c r="G90" s="8"/>
      <c r="H90" s="8"/>
      <c r="I90" s="8"/>
      <c r="J90" s="10">
        <f t="shared" si="1"/>
        <v>330533.9718</v>
      </c>
      <c r="K90" s="10" t="str">
        <f t="shared" si="2"/>
        <v/>
      </c>
    </row>
    <row r="91" ht="15.75" customHeight="1">
      <c r="A91" s="2" t="s">
        <v>45</v>
      </c>
      <c r="B91" s="2">
        <v>2026.0</v>
      </c>
      <c r="C91" s="2">
        <v>2.0</v>
      </c>
      <c r="D91" s="7">
        <v>647920.0</v>
      </c>
      <c r="E91" s="7">
        <v>188.566666666667</v>
      </c>
      <c r="F91" s="2">
        <v>3.0</v>
      </c>
      <c r="G91" s="8"/>
      <c r="H91" s="8"/>
      <c r="I91" s="8"/>
      <c r="J91" s="10">
        <f t="shared" si="1"/>
        <v>343602.6162</v>
      </c>
      <c r="K91" s="10" t="str">
        <f t="shared" si="2"/>
        <v/>
      </c>
    </row>
    <row r="92" ht="15.75" customHeight="1">
      <c r="A92" s="2" t="s">
        <v>46</v>
      </c>
      <c r="B92" s="2">
        <v>2022.0</v>
      </c>
      <c r="C92" s="2">
        <v>4.0</v>
      </c>
      <c r="D92" s="7">
        <v>556015.0</v>
      </c>
      <c r="E92" s="8"/>
      <c r="F92" s="2"/>
      <c r="G92" s="7">
        <v>4.8</v>
      </c>
      <c r="H92" s="9">
        <v>1.37253998E7</v>
      </c>
      <c r="I92" s="9">
        <v>681241.0</v>
      </c>
      <c r="J92" s="10" t="str">
        <f t="shared" si="1"/>
        <v/>
      </c>
      <c r="K92" s="10">
        <f t="shared" si="2"/>
        <v>20147642.02</v>
      </c>
    </row>
    <row r="93" ht="15.75" customHeight="1">
      <c r="A93" s="2" t="s">
        <v>46</v>
      </c>
      <c r="B93" s="2">
        <v>2023.0</v>
      </c>
      <c r="C93" s="2">
        <v>1.0</v>
      </c>
      <c r="D93" s="7">
        <v>618420.0</v>
      </c>
      <c r="E93" s="7">
        <v>131.45</v>
      </c>
      <c r="F93" s="2">
        <v>2.0</v>
      </c>
      <c r="G93" s="7">
        <v>4.9</v>
      </c>
      <c r="H93" s="9">
        <v>1.52377216E7</v>
      </c>
      <c r="I93" s="9">
        <v>693079.0</v>
      </c>
      <c r="J93" s="10">
        <f t="shared" si="1"/>
        <v>470460.251</v>
      </c>
      <c r="K93" s="10">
        <f t="shared" si="2"/>
        <v>21985547.97</v>
      </c>
    </row>
    <row r="94" ht="15.75" customHeight="1">
      <c r="A94" s="2" t="s">
        <v>46</v>
      </c>
      <c r="B94" s="2">
        <v>2023.0</v>
      </c>
      <c r="C94" s="2">
        <v>2.0</v>
      </c>
      <c r="D94" s="7">
        <v>573355.0</v>
      </c>
      <c r="E94" s="7">
        <v>134.6</v>
      </c>
      <c r="F94" s="2">
        <v>1.0</v>
      </c>
      <c r="G94" s="7">
        <v>4.9</v>
      </c>
      <c r="H94" s="9">
        <v>1.52377216E7</v>
      </c>
      <c r="I94" s="9">
        <v>693079.0</v>
      </c>
      <c r="J94" s="10">
        <f t="shared" si="1"/>
        <v>425969.5394</v>
      </c>
      <c r="K94" s="10">
        <f t="shared" si="2"/>
        <v>21985547.97</v>
      </c>
    </row>
    <row r="95" ht="15.75" customHeight="1">
      <c r="A95" s="2" t="s">
        <v>46</v>
      </c>
      <c r="B95" s="2">
        <v>2023.0</v>
      </c>
      <c r="C95" s="2">
        <v>3.0</v>
      </c>
      <c r="D95" s="7">
        <v>602411.0</v>
      </c>
      <c r="E95" s="7">
        <v>137.1</v>
      </c>
      <c r="F95" s="2">
        <v>1.0</v>
      </c>
      <c r="G95" s="7">
        <v>4.9</v>
      </c>
      <c r="H95" s="9">
        <v>1.52377216E7</v>
      </c>
      <c r="I95" s="9">
        <v>693079.0</v>
      </c>
      <c r="J95" s="10">
        <f t="shared" si="1"/>
        <v>439395.3319</v>
      </c>
      <c r="K95" s="10">
        <f t="shared" si="2"/>
        <v>21985547.97</v>
      </c>
    </row>
    <row r="96" ht="15.75" customHeight="1">
      <c r="A96" s="2" t="s">
        <v>46</v>
      </c>
      <c r="B96" s="2">
        <v>2023.0</v>
      </c>
      <c r="C96" s="2">
        <v>4.0</v>
      </c>
      <c r="D96" s="7">
        <v>591588.0</v>
      </c>
      <c r="E96" s="7">
        <v>140.566666666667</v>
      </c>
      <c r="F96" s="2">
        <v>3.0</v>
      </c>
      <c r="G96" s="7">
        <v>4.7</v>
      </c>
      <c r="H96" s="9">
        <v>1.52377216E7</v>
      </c>
      <c r="I96" s="9">
        <v>693079.0</v>
      </c>
      <c r="J96" s="10">
        <f t="shared" si="1"/>
        <v>420859.3787</v>
      </c>
      <c r="K96" s="10">
        <f t="shared" si="2"/>
        <v>21985547.97</v>
      </c>
    </row>
    <row r="97" ht="15.75" customHeight="1">
      <c r="A97" s="2" t="s">
        <v>46</v>
      </c>
      <c r="B97" s="2">
        <v>2024.0</v>
      </c>
      <c r="C97" s="2">
        <v>1.0</v>
      </c>
      <c r="D97" s="7">
        <v>604052.0</v>
      </c>
      <c r="E97" s="7">
        <v>144.8</v>
      </c>
      <c r="F97" s="2">
        <v>2.0</v>
      </c>
      <c r="G97" s="7">
        <v>4.9</v>
      </c>
      <c r="H97" s="9">
        <v>1.49815863E7</v>
      </c>
      <c r="I97" s="9">
        <v>704074.0</v>
      </c>
      <c r="J97" s="10">
        <f t="shared" si="1"/>
        <v>417162.9834</v>
      </c>
      <c r="K97" s="10">
        <f t="shared" si="2"/>
        <v>21278425.71</v>
      </c>
    </row>
    <row r="98" ht="15.75" customHeight="1">
      <c r="A98" s="2" t="s">
        <v>46</v>
      </c>
      <c r="B98" s="2">
        <v>2024.0</v>
      </c>
      <c r="C98" s="2">
        <v>2.0</v>
      </c>
      <c r="D98" s="7">
        <v>594426.0</v>
      </c>
      <c r="E98" s="7">
        <v>147.266666666667</v>
      </c>
      <c r="F98" s="2">
        <v>3.0</v>
      </c>
      <c r="G98" s="7">
        <v>4.9</v>
      </c>
      <c r="H98" s="9">
        <v>1.49815863E7</v>
      </c>
      <c r="I98" s="9">
        <v>704074.0</v>
      </c>
      <c r="J98" s="10">
        <f t="shared" si="1"/>
        <v>403639.2033</v>
      </c>
      <c r="K98" s="10">
        <f t="shared" si="2"/>
        <v>21278425.71</v>
      </c>
    </row>
    <row r="99" ht="15.75" customHeight="1">
      <c r="A99" s="2" t="s">
        <v>46</v>
      </c>
      <c r="B99" s="2">
        <v>2024.0</v>
      </c>
      <c r="C99" s="2">
        <v>3.0</v>
      </c>
      <c r="D99" s="7">
        <v>630894.0</v>
      </c>
      <c r="E99" s="7">
        <v>149.766666666667</v>
      </c>
      <c r="F99" s="2">
        <v>3.0</v>
      </c>
      <c r="G99" s="7">
        <v>4.9</v>
      </c>
      <c r="H99" s="9">
        <v>1.49815863E7</v>
      </c>
      <c r="I99" s="9">
        <v>704074.0</v>
      </c>
      <c r="J99" s="10">
        <f t="shared" si="1"/>
        <v>421251.2798</v>
      </c>
      <c r="K99" s="10">
        <f t="shared" si="2"/>
        <v>21278425.71</v>
      </c>
    </row>
    <row r="100" ht="15.75" customHeight="1">
      <c r="A100" s="2" t="s">
        <v>46</v>
      </c>
      <c r="B100" s="2">
        <v>2024.0</v>
      </c>
      <c r="C100" s="2">
        <v>4.0</v>
      </c>
      <c r="D100" s="7">
        <v>640938.0</v>
      </c>
      <c r="E100" s="7">
        <v>152.566666666667</v>
      </c>
      <c r="F100" s="2">
        <v>3.0</v>
      </c>
      <c r="G100" s="8"/>
      <c r="H100" s="9">
        <v>1.49815863E7</v>
      </c>
      <c r="I100" s="9">
        <v>704074.0</v>
      </c>
      <c r="J100" s="10">
        <f t="shared" si="1"/>
        <v>420103.5613</v>
      </c>
      <c r="K100" s="10">
        <f t="shared" si="2"/>
        <v>21278425.71</v>
      </c>
    </row>
    <row r="101" ht="15.75" customHeight="1">
      <c r="A101" s="2" t="s">
        <v>46</v>
      </c>
      <c r="B101" s="2">
        <v>2025.0</v>
      </c>
      <c r="C101" s="2">
        <v>1.0</v>
      </c>
      <c r="D101" s="7">
        <v>634234.0</v>
      </c>
      <c r="E101" s="7">
        <v>158.4</v>
      </c>
      <c r="F101" s="2">
        <v>3.0</v>
      </c>
      <c r="G101" s="8"/>
      <c r="H101" s="9">
        <v>1.66456788E7</v>
      </c>
      <c r="I101" s="9">
        <v>710781.0</v>
      </c>
      <c r="J101" s="10">
        <f t="shared" si="1"/>
        <v>400400.2525</v>
      </c>
      <c r="K101" s="10">
        <f t="shared" si="2"/>
        <v>23418857.29</v>
      </c>
    </row>
    <row r="102" ht="15.75" customHeight="1">
      <c r="A102" s="2" t="s">
        <v>46</v>
      </c>
      <c r="B102" s="2">
        <v>2025.0</v>
      </c>
      <c r="C102" s="2">
        <v>2.0</v>
      </c>
      <c r="D102" s="7">
        <v>585172.0</v>
      </c>
      <c r="E102" s="7">
        <v>163.2</v>
      </c>
      <c r="F102" s="2">
        <v>3.0</v>
      </c>
      <c r="G102" s="8"/>
      <c r="H102" s="9">
        <v>1.66456788E7</v>
      </c>
      <c r="I102" s="9">
        <v>710781.0</v>
      </c>
      <c r="J102" s="10">
        <f t="shared" si="1"/>
        <v>358561.2745</v>
      </c>
      <c r="K102" s="10">
        <f t="shared" si="2"/>
        <v>23418857.29</v>
      </c>
    </row>
    <row r="103" ht="15.75" customHeight="1">
      <c r="A103" s="2" t="s">
        <v>46</v>
      </c>
      <c r="B103" s="2">
        <v>2025.0</v>
      </c>
      <c r="C103" s="2">
        <v>3.0</v>
      </c>
      <c r="D103" s="7">
        <v>602752.0</v>
      </c>
      <c r="E103" s="7">
        <v>168.7</v>
      </c>
      <c r="F103" s="2">
        <v>3.0</v>
      </c>
      <c r="G103" s="8"/>
      <c r="H103" s="9">
        <v>1.66456788E7</v>
      </c>
      <c r="I103" s="9">
        <v>710781.0</v>
      </c>
      <c r="J103" s="10">
        <f t="shared" si="1"/>
        <v>357292.2347</v>
      </c>
      <c r="K103" s="10">
        <f t="shared" si="2"/>
        <v>23418857.29</v>
      </c>
    </row>
    <row r="104" ht="15.75" customHeight="1">
      <c r="A104" s="2" t="s">
        <v>46</v>
      </c>
      <c r="B104" s="2">
        <v>2025.0</v>
      </c>
      <c r="C104" s="2">
        <v>4.0</v>
      </c>
      <c r="D104" s="7">
        <v>609534.0</v>
      </c>
      <c r="E104" s="7">
        <v>173.333333333333</v>
      </c>
      <c r="F104" s="2">
        <v>3.0</v>
      </c>
      <c r="G104" s="8"/>
      <c r="H104" s="9">
        <v>1.66456788E7</v>
      </c>
      <c r="I104" s="9">
        <v>710781.0</v>
      </c>
      <c r="J104" s="10">
        <f t="shared" si="1"/>
        <v>351654.2308</v>
      </c>
      <c r="K104" s="10">
        <f t="shared" si="2"/>
        <v>23418857.29</v>
      </c>
    </row>
    <row r="105" ht="15.75" customHeight="1">
      <c r="A105" s="2" t="s">
        <v>46</v>
      </c>
      <c r="B105" s="2">
        <v>2026.0</v>
      </c>
      <c r="C105" s="2">
        <v>1.0</v>
      </c>
      <c r="D105" s="7">
        <v>652950.0</v>
      </c>
      <c r="E105" s="7">
        <v>177.8</v>
      </c>
      <c r="F105" s="2">
        <v>3.0</v>
      </c>
      <c r="G105" s="8"/>
      <c r="H105" s="8"/>
      <c r="I105" s="8"/>
      <c r="J105" s="10">
        <f t="shared" si="1"/>
        <v>367238.4702</v>
      </c>
      <c r="K105" s="10" t="str">
        <f t="shared" si="2"/>
        <v/>
      </c>
    </row>
    <row r="106" ht="15.75" customHeight="1">
      <c r="A106" s="2" t="s">
        <v>46</v>
      </c>
      <c r="B106" s="2">
        <v>2026.0</v>
      </c>
      <c r="C106" s="2">
        <v>2.0</v>
      </c>
      <c r="D106" s="7">
        <v>631555.0</v>
      </c>
      <c r="E106" s="7">
        <v>182.366666666667</v>
      </c>
      <c r="F106" s="2">
        <v>3.0</v>
      </c>
      <c r="G106" s="8"/>
      <c r="H106" s="8"/>
      <c r="I106" s="8"/>
      <c r="J106" s="10">
        <f t="shared" si="1"/>
        <v>346310.5465</v>
      </c>
      <c r="K106" s="10" t="str">
        <f t="shared" si="2"/>
        <v/>
      </c>
    </row>
    <row r="107" ht="15.75" customHeight="1">
      <c r="A107" s="2" t="s">
        <v>47</v>
      </c>
      <c r="B107" s="2">
        <v>2022.0</v>
      </c>
      <c r="C107" s="2">
        <v>4.0</v>
      </c>
      <c r="D107" s="7">
        <v>300819.0</v>
      </c>
      <c r="E107" s="8"/>
      <c r="F107" s="2"/>
      <c r="G107" s="7">
        <v>4.8</v>
      </c>
      <c r="H107" s="9">
        <v>4435130.6</v>
      </c>
      <c r="I107" s="9">
        <v>683327.0</v>
      </c>
      <c r="J107" s="10" t="str">
        <f t="shared" si="1"/>
        <v/>
      </c>
      <c r="K107" s="10">
        <f t="shared" si="2"/>
        <v>6490495.18</v>
      </c>
    </row>
    <row r="108" ht="15.75" customHeight="1">
      <c r="A108" s="2" t="s">
        <v>47</v>
      </c>
      <c r="B108" s="2">
        <v>2023.0</v>
      </c>
      <c r="C108" s="2">
        <v>1.0</v>
      </c>
      <c r="D108" s="7">
        <v>292400.0</v>
      </c>
      <c r="E108" s="7">
        <v>132.35</v>
      </c>
      <c r="F108" s="2">
        <v>2.0</v>
      </c>
      <c r="G108" s="7">
        <v>4.9</v>
      </c>
      <c r="H108" s="9">
        <v>5014788.3</v>
      </c>
      <c r="I108" s="9">
        <v>688127.0</v>
      </c>
      <c r="J108" s="10">
        <f t="shared" si="1"/>
        <v>220929.354</v>
      </c>
      <c r="K108" s="10">
        <f t="shared" si="2"/>
        <v>7287591.244</v>
      </c>
    </row>
    <row r="109" ht="15.75" customHeight="1">
      <c r="A109" s="2" t="s">
        <v>47</v>
      </c>
      <c r="B109" s="2">
        <v>2023.0</v>
      </c>
      <c r="C109" s="2">
        <v>2.0</v>
      </c>
      <c r="D109" s="7">
        <v>317958.0</v>
      </c>
      <c r="E109" s="7">
        <v>135.4</v>
      </c>
      <c r="F109" s="2">
        <v>1.0</v>
      </c>
      <c r="G109" s="7">
        <v>4.9</v>
      </c>
      <c r="H109" s="9">
        <v>5014788.3</v>
      </c>
      <c r="I109" s="9">
        <v>688127.0</v>
      </c>
      <c r="J109" s="10">
        <f t="shared" si="1"/>
        <v>234828.6558</v>
      </c>
      <c r="K109" s="10">
        <f t="shared" si="2"/>
        <v>7287591.244</v>
      </c>
    </row>
    <row r="110" ht="15.75" customHeight="1">
      <c r="A110" s="2" t="s">
        <v>47</v>
      </c>
      <c r="B110" s="2">
        <v>2023.0</v>
      </c>
      <c r="C110" s="2">
        <v>3.0</v>
      </c>
      <c r="D110" s="7">
        <v>314567.0</v>
      </c>
      <c r="E110" s="7">
        <v>137.9</v>
      </c>
      <c r="F110" s="2">
        <v>1.0</v>
      </c>
      <c r="G110" s="7">
        <v>4.8</v>
      </c>
      <c r="H110" s="9">
        <v>5014788.3</v>
      </c>
      <c r="I110" s="9">
        <v>688127.0</v>
      </c>
      <c r="J110" s="10">
        <f t="shared" si="1"/>
        <v>228112.4003</v>
      </c>
      <c r="K110" s="10">
        <f t="shared" si="2"/>
        <v>7287591.244</v>
      </c>
    </row>
    <row r="111" ht="15.75" customHeight="1">
      <c r="A111" s="2" t="s">
        <v>47</v>
      </c>
      <c r="B111" s="2">
        <v>2023.0</v>
      </c>
      <c r="C111" s="2">
        <v>4.0</v>
      </c>
      <c r="D111" s="7">
        <v>337890.0</v>
      </c>
      <c r="E111" s="7">
        <v>141.033333333333</v>
      </c>
      <c r="F111" s="2">
        <v>3.0</v>
      </c>
      <c r="G111" s="7">
        <v>4.8</v>
      </c>
      <c r="H111" s="9">
        <v>5014788.3</v>
      </c>
      <c r="I111" s="9">
        <v>688127.0</v>
      </c>
      <c r="J111" s="10">
        <f t="shared" si="1"/>
        <v>239581.6592</v>
      </c>
      <c r="K111" s="10">
        <f t="shared" si="2"/>
        <v>7287591.244</v>
      </c>
    </row>
    <row r="112" ht="15.75" customHeight="1">
      <c r="A112" s="2" t="s">
        <v>47</v>
      </c>
      <c r="B112" s="2">
        <v>2024.0</v>
      </c>
      <c r="C112" s="2">
        <v>1.0</v>
      </c>
      <c r="D112" s="7">
        <v>345722.0</v>
      </c>
      <c r="E112" s="7">
        <v>144.4</v>
      </c>
      <c r="F112" s="2">
        <v>2.0</v>
      </c>
      <c r="G112" s="7">
        <v>4.8</v>
      </c>
      <c r="H112" s="9">
        <v>4722419.0</v>
      </c>
      <c r="I112" s="9">
        <v>693262.0</v>
      </c>
      <c r="J112" s="10">
        <f t="shared" si="1"/>
        <v>239419.6676</v>
      </c>
      <c r="K112" s="10">
        <f t="shared" si="2"/>
        <v>6811882.088</v>
      </c>
    </row>
    <row r="113" ht="15.75" customHeight="1">
      <c r="A113" s="2" t="s">
        <v>47</v>
      </c>
      <c r="B113" s="2">
        <v>2024.0</v>
      </c>
      <c r="C113" s="2">
        <v>2.0</v>
      </c>
      <c r="D113" s="7">
        <v>342237.0</v>
      </c>
      <c r="E113" s="7">
        <v>147.166666666667</v>
      </c>
      <c r="F113" s="2">
        <v>3.0</v>
      </c>
      <c r="G113" s="7">
        <v>4.8</v>
      </c>
      <c r="H113" s="9">
        <v>4722419.0</v>
      </c>
      <c r="I113" s="9">
        <v>693262.0</v>
      </c>
      <c r="J113" s="10">
        <f t="shared" si="1"/>
        <v>232550.6229</v>
      </c>
      <c r="K113" s="10">
        <f t="shared" si="2"/>
        <v>6811882.088</v>
      </c>
    </row>
    <row r="114" ht="15.75" customHeight="1">
      <c r="A114" s="2" t="s">
        <v>47</v>
      </c>
      <c r="B114" s="2">
        <v>2024.0</v>
      </c>
      <c r="C114" s="2">
        <v>3.0</v>
      </c>
      <c r="D114" s="7">
        <v>340084.0</v>
      </c>
      <c r="E114" s="7">
        <v>150.2</v>
      </c>
      <c r="F114" s="2">
        <v>3.0</v>
      </c>
      <c r="G114" s="7">
        <v>4.8</v>
      </c>
      <c r="H114" s="9">
        <v>4722419.0</v>
      </c>
      <c r="I114" s="9">
        <v>693262.0</v>
      </c>
      <c r="J114" s="10">
        <f t="shared" si="1"/>
        <v>226420.7723</v>
      </c>
      <c r="K114" s="10">
        <f t="shared" si="2"/>
        <v>6811882.088</v>
      </c>
    </row>
    <row r="115" ht="15.75" customHeight="1">
      <c r="A115" s="2" t="s">
        <v>47</v>
      </c>
      <c r="B115" s="2">
        <v>2024.0</v>
      </c>
      <c r="C115" s="2">
        <v>4.0</v>
      </c>
      <c r="D115" s="7">
        <v>361140.0</v>
      </c>
      <c r="E115" s="7">
        <v>153.766666666667</v>
      </c>
      <c r="F115" s="2">
        <v>3.0</v>
      </c>
      <c r="G115" s="8"/>
      <c r="H115" s="9">
        <v>4722419.0</v>
      </c>
      <c r="I115" s="9">
        <v>693262.0</v>
      </c>
      <c r="J115" s="10">
        <f t="shared" si="1"/>
        <v>234862.3455</v>
      </c>
      <c r="K115" s="10">
        <f t="shared" si="2"/>
        <v>6811882.088</v>
      </c>
    </row>
    <row r="116" ht="15.75" customHeight="1">
      <c r="A116" s="2" t="s">
        <v>47</v>
      </c>
      <c r="B116" s="2">
        <v>2025.0</v>
      </c>
      <c r="C116" s="2">
        <v>1.0</v>
      </c>
      <c r="D116" s="7">
        <v>361848.0</v>
      </c>
      <c r="E116" s="7">
        <v>159.433333333333</v>
      </c>
      <c r="F116" s="2">
        <v>3.0</v>
      </c>
      <c r="G116" s="8"/>
      <c r="H116" s="9">
        <v>4984664.0</v>
      </c>
      <c r="I116" s="9">
        <v>695988.0</v>
      </c>
      <c r="J116" s="10">
        <f t="shared" si="1"/>
        <v>226958.8125</v>
      </c>
      <c r="K116" s="10">
        <f t="shared" si="2"/>
        <v>7161997.046</v>
      </c>
    </row>
    <row r="117" ht="15.75" customHeight="1">
      <c r="A117" s="2" t="s">
        <v>47</v>
      </c>
      <c r="B117" s="2">
        <v>2025.0</v>
      </c>
      <c r="C117" s="2">
        <v>2.0</v>
      </c>
      <c r="D117" s="7">
        <v>378851.0</v>
      </c>
      <c r="E117" s="7">
        <v>164.566666666667</v>
      </c>
      <c r="F117" s="2">
        <v>3.0</v>
      </c>
      <c r="G117" s="8"/>
      <c r="H117" s="9">
        <v>4984664.0</v>
      </c>
      <c r="I117" s="9">
        <v>695988.0</v>
      </c>
      <c r="J117" s="10">
        <f t="shared" si="1"/>
        <v>230211.2619</v>
      </c>
      <c r="K117" s="10">
        <f t="shared" si="2"/>
        <v>7161997.046</v>
      </c>
    </row>
    <row r="118" ht="15.75" customHeight="1">
      <c r="A118" s="2" t="s">
        <v>47</v>
      </c>
      <c r="B118" s="2">
        <v>2025.0</v>
      </c>
      <c r="C118" s="2">
        <v>3.0</v>
      </c>
      <c r="D118" s="7">
        <v>363934.0</v>
      </c>
      <c r="E118" s="7">
        <v>168.933333333333</v>
      </c>
      <c r="F118" s="2">
        <v>3.0</v>
      </c>
      <c r="G118" s="8"/>
      <c r="H118" s="9">
        <v>4984664.0</v>
      </c>
      <c r="I118" s="9">
        <v>695988.0</v>
      </c>
      <c r="J118" s="10">
        <f t="shared" si="1"/>
        <v>215430.5446</v>
      </c>
      <c r="K118" s="10">
        <f t="shared" si="2"/>
        <v>7161997.046</v>
      </c>
    </row>
    <row r="119" ht="15.75" customHeight="1">
      <c r="A119" s="2" t="s">
        <v>47</v>
      </c>
      <c r="B119" s="2">
        <v>2025.0</v>
      </c>
      <c r="C119" s="2">
        <v>4.0</v>
      </c>
      <c r="D119" s="7">
        <v>380424.0</v>
      </c>
      <c r="E119" s="7">
        <v>172.5</v>
      </c>
      <c r="F119" s="2">
        <v>3.0</v>
      </c>
      <c r="G119" s="8"/>
      <c r="H119" s="9">
        <v>4984664.0</v>
      </c>
      <c r="I119" s="9">
        <v>695988.0</v>
      </c>
      <c r="J119" s="10">
        <f t="shared" si="1"/>
        <v>220535.6522</v>
      </c>
      <c r="K119" s="10">
        <f t="shared" si="2"/>
        <v>7161997.046</v>
      </c>
    </row>
    <row r="120" ht="15.75" customHeight="1">
      <c r="A120" s="2" t="s">
        <v>47</v>
      </c>
      <c r="B120" s="2">
        <v>2026.0</v>
      </c>
      <c r="C120" s="2">
        <v>1.0</v>
      </c>
      <c r="D120" s="7">
        <v>387694.0</v>
      </c>
      <c r="E120" s="7">
        <v>177.066666666667</v>
      </c>
      <c r="F120" s="2">
        <v>3.0</v>
      </c>
      <c r="G120" s="8"/>
      <c r="H120" s="8"/>
      <c r="I120" s="8"/>
      <c r="J120" s="10">
        <f t="shared" si="1"/>
        <v>218953.6898</v>
      </c>
      <c r="K120" s="10" t="str">
        <f t="shared" si="2"/>
        <v/>
      </c>
    </row>
    <row r="121" ht="15.75" customHeight="1">
      <c r="A121" s="2" t="s">
        <v>47</v>
      </c>
      <c r="B121" s="2">
        <v>2026.0</v>
      </c>
      <c r="C121" s="2">
        <v>2.0</v>
      </c>
      <c r="D121" s="7">
        <v>402028.0</v>
      </c>
      <c r="E121" s="7">
        <v>181.4</v>
      </c>
      <c r="F121" s="2">
        <v>3.0</v>
      </c>
      <c r="G121" s="8"/>
      <c r="H121" s="8"/>
      <c r="I121" s="8"/>
      <c r="J121" s="10">
        <f t="shared" si="1"/>
        <v>221625.1378</v>
      </c>
      <c r="K121" s="10" t="str">
        <f t="shared" si="2"/>
        <v/>
      </c>
    </row>
    <row r="122" ht="15.75" customHeight="1">
      <c r="A122" s="2" t="s">
        <v>48</v>
      </c>
      <c r="B122" s="2">
        <v>2022.0</v>
      </c>
      <c r="C122" s="2">
        <v>4.0</v>
      </c>
      <c r="D122" s="7">
        <v>317758.0</v>
      </c>
      <c r="E122" s="8"/>
      <c r="F122" s="2"/>
      <c r="G122" s="7">
        <v>4.3</v>
      </c>
      <c r="H122" s="9">
        <v>7278059.2</v>
      </c>
      <c r="I122" s="9">
        <v>1134966.0</v>
      </c>
      <c r="J122" s="10" t="str">
        <f t="shared" si="1"/>
        <v/>
      </c>
      <c r="K122" s="10">
        <f t="shared" si="2"/>
        <v>6412579.055</v>
      </c>
    </row>
    <row r="123" ht="15.75" customHeight="1">
      <c r="A123" s="2" t="s">
        <v>48</v>
      </c>
      <c r="B123" s="2">
        <v>2023.0</v>
      </c>
      <c r="C123" s="2">
        <v>1.0</v>
      </c>
      <c r="D123" s="7">
        <v>314620.0</v>
      </c>
      <c r="E123" s="7">
        <v>133.15</v>
      </c>
      <c r="F123" s="2">
        <v>2.0</v>
      </c>
      <c r="G123" s="7">
        <v>4.2</v>
      </c>
      <c r="H123" s="9">
        <v>7711828.2</v>
      </c>
      <c r="I123" s="9">
        <v>1134855.0</v>
      </c>
      <c r="J123" s="10">
        <f t="shared" si="1"/>
        <v>236289.8986</v>
      </c>
      <c r="K123" s="10">
        <f t="shared" si="2"/>
        <v>6795430.429</v>
      </c>
    </row>
    <row r="124" ht="15.75" customHeight="1">
      <c r="A124" s="2" t="s">
        <v>48</v>
      </c>
      <c r="B124" s="2">
        <v>2023.0</v>
      </c>
      <c r="C124" s="2">
        <v>2.0</v>
      </c>
      <c r="D124" s="7">
        <v>343123.0</v>
      </c>
      <c r="E124" s="7">
        <v>136.5</v>
      </c>
      <c r="F124" s="2">
        <v>1.0</v>
      </c>
      <c r="G124" s="7">
        <v>4.1</v>
      </c>
      <c r="H124" s="9">
        <v>7711828.2</v>
      </c>
      <c r="I124" s="9">
        <v>1134855.0</v>
      </c>
      <c r="J124" s="10">
        <f t="shared" si="1"/>
        <v>251372.1612</v>
      </c>
      <c r="K124" s="10">
        <f t="shared" si="2"/>
        <v>6795430.429</v>
      </c>
    </row>
    <row r="125" ht="15.75" customHeight="1">
      <c r="A125" s="2" t="s">
        <v>48</v>
      </c>
      <c r="B125" s="2">
        <v>2023.0</v>
      </c>
      <c r="C125" s="2">
        <v>3.0</v>
      </c>
      <c r="D125" s="7">
        <v>329618.0</v>
      </c>
      <c r="E125" s="7">
        <v>140.3</v>
      </c>
      <c r="F125" s="2">
        <v>1.0</v>
      </c>
      <c r="G125" s="7">
        <v>4.1</v>
      </c>
      <c r="H125" s="9">
        <v>7711828.2</v>
      </c>
      <c r="I125" s="9">
        <v>1134855.0</v>
      </c>
      <c r="J125" s="10">
        <f t="shared" si="1"/>
        <v>234937.99</v>
      </c>
      <c r="K125" s="10">
        <f t="shared" si="2"/>
        <v>6795430.429</v>
      </c>
    </row>
    <row r="126" ht="15.75" customHeight="1">
      <c r="A126" s="2" t="s">
        <v>48</v>
      </c>
      <c r="B126" s="2">
        <v>2023.0</v>
      </c>
      <c r="C126" s="2">
        <v>4.0</v>
      </c>
      <c r="D126" s="7">
        <v>367191.0</v>
      </c>
      <c r="E126" s="7">
        <v>144.5</v>
      </c>
      <c r="F126" s="2">
        <v>3.0</v>
      </c>
      <c r="G126" s="7">
        <v>4.2</v>
      </c>
      <c r="H126" s="9">
        <v>7711828.2</v>
      </c>
      <c r="I126" s="9">
        <v>1134855.0</v>
      </c>
      <c r="J126" s="10">
        <f t="shared" si="1"/>
        <v>254111.4187</v>
      </c>
      <c r="K126" s="10">
        <f t="shared" si="2"/>
        <v>6795430.429</v>
      </c>
    </row>
    <row r="127" ht="15.75" customHeight="1">
      <c r="A127" s="2" t="s">
        <v>48</v>
      </c>
      <c r="B127" s="2">
        <v>2024.0</v>
      </c>
      <c r="C127" s="2">
        <v>1.0</v>
      </c>
      <c r="D127" s="7">
        <v>360623.0</v>
      </c>
      <c r="E127" s="7">
        <v>148.5</v>
      </c>
      <c r="F127" s="2">
        <v>2.0</v>
      </c>
      <c r="G127" s="7">
        <v>4.2</v>
      </c>
      <c r="H127" s="9">
        <v>9059477.4</v>
      </c>
      <c r="I127" s="9">
        <v>1135351.0</v>
      </c>
      <c r="J127" s="10">
        <f t="shared" si="1"/>
        <v>242843.771</v>
      </c>
      <c r="K127" s="10">
        <f t="shared" si="2"/>
        <v>7979450.76</v>
      </c>
    </row>
    <row r="128" ht="15.75" customHeight="1">
      <c r="A128" s="2" t="s">
        <v>48</v>
      </c>
      <c r="B128" s="2">
        <v>2024.0</v>
      </c>
      <c r="C128" s="2">
        <v>2.0</v>
      </c>
      <c r="D128" s="7">
        <v>379463.0</v>
      </c>
      <c r="E128" s="7">
        <v>151.6</v>
      </c>
      <c r="F128" s="2">
        <v>3.0</v>
      </c>
      <c r="G128" s="7">
        <v>4.1</v>
      </c>
      <c r="H128" s="9">
        <v>9059477.4</v>
      </c>
      <c r="I128" s="9">
        <v>1135351.0</v>
      </c>
      <c r="J128" s="10">
        <f t="shared" si="1"/>
        <v>250305.409</v>
      </c>
      <c r="K128" s="10">
        <f t="shared" si="2"/>
        <v>7979450.76</v>
      </c>
    </row>
    <row r="129" ht="15.75" customHeight="1">
      <c r="A129" s="2" t="s">
        <v>48</v>
      </c>
      <c r="B129" s="2">
        <v>2024.0</v>
      </c>
      <c r="C129" s="2">
        <v>3.0</v>
      </c>
      <c r="D129" s="7">
        <v>374937.0</v>
      </c>
      <c r="E129" s="7">
        <v>153.666666666667</v>
      </c>
      <c r="F129" s="2">
        <v>3.0</v>
      </c>
      <c r="G129" s="7">
        <v>4.1</v>
      </c>
      <c r="H129" s="9">
        <v>9059477.4</v>
      </c>
      <c r="I129" s="9">
        <v>1135351.0</v>
      </c>
      <c r="J129" s="10">
        <f t="shared" si="1"/>
        <v>243993.7093</v>
      </c>
      <c r="K129" s="10">
        <f t="shared" si="2"/>
        <v>7979450.76</v>
      </c>
    </row>
    <row r="130" ht="15.75" customHeight="1">
      <c r="A130" s="2" t="s">
        <v>48</v>
      </c>
      <c r="B130" s="2">
        <v>2024.0</v>
      </c>
      <c r="C130" s="2">
        <v>4.0</v>
      </c>
      <c r="D130" s="7">
        <v>415544.0</v>
      </c>
      <c r="E130" s="7">
        <v>157.633333333333</v>
      </c>
      <c r="F130" s="2">
        <v>3.0</v>
      </c>
      <c r="G130" s="8"/>
      <c r="H130" s="9">
        <v>9059477.4</v>
      </c>
      <c r="I130" s="9">
        <v>1135351.0</v>
      </c>
      <c r="J130" s="10">
        <f t="shared" si="1"/>
        <v>263614.2948</v>
      </c>
      <c r="K130" s="10">
        <f t="shared" si="2"/>
        <v>7979450.76</v>
      </c>
    </row>
    <row r="131" ht="15.75" customHeight="1">
      <c r="A131" s="2" t="s">
        <v>48</v>
      </c>
      <c r="B131" s="2">
        <v>2025.0</v>
      </c>
      <c r="C131" s="2">
        <v>1.0</v>
      </c>
      <c r="D131" s="7">
        <v>398805.0</v>
      </c>
      <c r="E131" s="7">
        <v>164.733333333333</v>
      </c>
      <c r="F131" s="2">
        <v>3.0</v>
      </c>
      <c r="G131" s="8"/>
      <c r="H131" s="9">
        <v>1.03673462E7</v>
      </c>
      <c r="I131" s="9">
        <v>1133933.0</v>
      </c>
      <c r="J131" s="10">
        <f t="shared" si="1"/>
        <v>242091.2586</v>
      </c>
      <c r="K131" s="10">
        <f t="shared" si="2"/>
        <v>9142820.784</v>
      </c>
    </row>
    <row r="132" ht="15.75" customHeight="1">
      <c r="A132" s="2" t="s">
        <v>48</v>
      </c>
      <c r="B132" s="2">
        <v>2025.0</v>
      </c>
      <c r="C132" s="2">
        <v>2.0</v>
      </c>
      <c r="D132" s="7">
        <v>432501.0</v>
      </c>
      <c r="E132" s="7">
        <v>171.333333333333</v>
      </c>
      <c r="F132" s="2">
        <v>3.0</v>
      </c>
      <c r="G132" s="8"/>
      <c r="H132" s="9">
        <v>1.03673462E7</v>
      </c>
      <c r="I132" s="9">
        <v>1133933.0</v>
      </c>
      <c r="J132" s="10">
        <f t="shared" si="1"/>
        <v>252432.4903</v>
      </c>
      <c r="K132" s="10">
        <f t="shared" si="2"/>
        <v>9142820.784</v>
      </c>
    </row>
    <row r="133" ht="15.75" customHeight="1">
      <c r="A133" s="2" t="s">
        <v>48</v>
      </c>
      <c r="B133" s="2">
        <v>2025.0</v>
      </c>
      <c r="C133" s="2">
        <v>3.0</v>
      </c>
      <c r="D133" s="7">
        <v>410314.0</v>
      </c>
      <c r="E133" s="7">
        <v>175.7</v>
      </c>
      <c r="F133" s="2">
        <v>3.0</v>
      </c>
      <c r="G133" s="8"/>
      <c r="H133" s="9">
        <v>1.03673462E7</v>
      </c>
      <c r="I133" s="9">
        <v>1133933.0</v>
      </c>
      <c r="J133" s="10">
        <f t="shared" si="1"/>
        <v>233531.0188</v>
      </c>
      <c r="K133" s="10">
        <f t="shared" si="2"/>
        <v>9142820.784</v>
      </c>
    </row>
    <row r="134" ht="15.75" customHeight="1">
      <c r="A134" s="2" t="s">
        <v>48</v>
      </c>
      <c r="B134" s="2">
        <v>2025.0</v>
      </c>
      <c r="C134" s="2">
        <v>4.0</v>
      </c>
      <c r="D134" s="7">
        <v>454071.0</v>
      </c>
      <c r="E134" s="7">
        <v>178.833333333333</v>
      </c>
      <c r="F134" s="2">
        <v>3.0</v>
      </c>
      <c r="G134" s="8"/>
      <c r="H134" s="9">
        <v>1.03673462E7</v>
      </c>
      <c r="I134" s="9">
        <v>1133933.0</v>
      </c>
      <c r="J134" s="10">
        <f t="shared" si="1"/>
        <v>253907.3625</v>
      </c>
      <c r="K134" s="10">
        <f t="shared" si="2"/>
        <v>9142820.784</v>
      </c>
    </row>
    <row r="135" ht="15.75" customHeight="1">
      <c r="A135" s="2" t="s">
        <v>48</v>
      </c>
      <c r="B135" s="2">
        <v>2026.0</v>
      </c>
      <c r="C135" s="2">
        <v>1.0</v>
      </c>
      <c r="D135" s="7">
        <v>439100.0</v>
      </c>
      <c r="E135" s="7">
        <v>183.433333333333</v>
      </c>
      <c r="F135" s="2">
        <v>3.0</v>
      </c>
      <c r="G135" s="8"/>
      <c r="H135" s="8"/>
      <c r="I135" s="8"/>
      <c r="J135" s="10">
        <f t="shared" si="1"/>
        <v>239378.5208</v>
      </c>
      <c r="K135" s="10" t="str">
        <f t="shared" si="2"/>
        <v/>
      </c>
    </row>
    <row r="136" ht="15.75" customHeight="1">
      <c r="A136" s="2" t="s">
        <v>48</v>
      </c>
      <c r="B136" s="2">
        <v>2026.0</v>
      </c>
      <c r="C136" s="2">
        <v>2.0</v>
      </c>
      <c r="D136" s="7">
        <v>470390.0</v>
      </c>
      <c r="E136" s="7">
        <v>187.1</v>
      </c>
      <c r="F136" s="2">
        <v>3.0</v>
      </c>
      <c r="G136" s="8"/>
      <c r="H136" s="8"/>
      <c r="I136" s="8"/>
      <c r="J136" s="10">
        <f t="shared" si="1"/>
        <v>251411.0102</v>
      </c>
      <c r="K136" s="10" t="str">
        <f t="shared" si="2"/>
        <v/>
      </c>
    </row>
    <row r="137" ht="15.75" customHeight="1">
      <c r="A137" s="2" t="s">
        <v>49</v>
      </c>
      <c r="B137" s="2">
        <v>2022.0</v>
      </c>
      <c r="C137" s="2">
        <v>4.0</v>
      </c>
      <c r="D137" s="7">
        <v>281827.0</v>
      </c>
      <c r="E137" s="8"/>
      <c r="F137" s="2"/>
      <c r="G137" s="7">
        <v>4.8</v>
      </c>
      <c r="H137" s="9">
        <v>4182077.8</v>
      </c>
      <c r="I137" s="9">
        <v>835686.0</v>
      </c>
      <c r="J137" s="10" t="str">
        <f t="shared" si="1"/>
        <v/>
      </c>
      <c r="K137" s="10">
        <f t="shared" si="2"/>
        <v>5004365.037</v>
      </c>
    </row>
    <row r="138" ht="15.75" customHeight="1">
      <c r="A138" s="2" t="s">
        <v>49</v>
      </c>
      <c r="B138" s="2">
        <v>2023.0</v>
      </c>
      <c r="C138" s="2">
        <v>1.0</v>
      </c>
      <c r="D138" s="7">
        <v>274646.0</v>
      </c>
      <c r="E138" s="7">
        <v>132.4</v>
      </c>
      <c r="F138" s="2">
        <v>2.0</v>
      </c>
      <c r="G138" s="7">
        <v>4.8</v>
      </c>
      <c r="H138" s="9">
        <v>4436636.1</v>
      </c>
      <c r="I138" s="9">
        <v>832234.0</v>
      </c>
      <c r="J138" s="10">
        <f t="shared" si="1"/>
        <v>207436.5559</v>
      </c>
      <c r="K138" s="10">
        <f t="shared" si="2"/>
        <v>5330995.97</v>
      </c>
    </row>
    <row r="139" ht="15.75" customHeight="1">
      <c r="A139" s="2" t="s">
        <v>49</v>
      </c>
      <c r="B139" s="2">
        <v>2023.0</v>
      </c>
      <c r="C139" s="2">
        <v>2.0</v>
      </c>
      <c r="D139" s="7">
        <v>300222.0</v>
      </c>
      <c r="E139" s="7">
        <v>135.1</v>
      </c>
      <c r="F139" s="2">
        <v>1.0</v>
      </c>
      <c r="G139" s="7">
        <v>4.7</v>
      </c>
      <c r="H139" s="9">
        <v>4436636.1</v>
      </c>
      <c r="I139" s="9">
        <v>832234.0</v>
      </c>
      <c r="J139" s="10">
        <f t="shared" si="1"/>
        <v>222222.0577</v>
      </c>
      <c r="K139" s="10">
        <f t="shared" si="2"/>
        <v>5330995.97</v>
      </c>
    </row>
    <row r="140" ht="15.75" customHeight="1">
      <c r="A140" s="2" t="s">
        <v>49</v>
      </c>
      <c r="B140" s="2">
        <v>2023.0</v>
      </c>
      <c r="C140" s="2">
        <v>3.0</v>
      </c>
      <c r="D140" s="7">
        <v>296842.0</v>
      </c>
      <c r="E140" s="7">
        <v>138.1</v>
      </c>
      <c r="F140" s="2">
        <v>1.0</v>
      </c>
      <c r="G140" s="7">
        <v>4.7</v>
      </c>
      <c r="H140" s="9">
        <v>4436636.1</v>
      </c>
      <c r="I140" s="9">
        <v>832234.0</v>
      </c>
      <c r="J140" s="10">
        <f t="shared" si="1"/>
        <v>214947.1398</v>
      </c>
      <c r="K140" s="10">
        <f t="shared" si="2"/>
        <v>5330995.97</v>
      </c>
    </row>
    <row r="141" ht="15.75" customHeight="1">
      <c r="A141" s="2" t="s">
        <v>49</v>
      </c>
      <c r="B141" s="2">
        <v>2023.0</v>
      </c>
      <c r="C141" s="2">
        <v>4.0</v>
      </c>
      <c r="D141" s="7">
        <v>335404.0</v>
      </c>
      <c r="E141" s="7">
        <v>141.1</v>
      </c>
      <c r="F141" s="2">
        <v>3.0</v>
      </c>
      <c r="G141" s="7">
        <v>4.8</v>
      </c>
      <c r="H141" s="9">
        <v>4436636.1</v>
      </c>
      <c r="I141" s="9">
        <v>832234.0</v>
      </c>
      <c r="J141" s="10">
        <f t="shared" si="1"/>
        <v>237706.5911</v>
      </c>
      <c r="K141" s="10">
        <f t="shared" si="2"/>
        <v>5330995.97</v>
      </c>
    </row>
    <row r="142" ht="15.75" customHeight="1">
      <c r="A142" s="2" t="s">
        <v>49</v>
      </c>
      <c r="B142" s="2">
        <v>2024.0</v>
      </c>
      <c r="C142" s="2">
        <v>1.0</v>
      </c>
      <c r="D142" s="7">
        <v>313092.0</v>
      </c>
      <c r="E142" s="7">
        <v>144.3</v>
      </c>
      <c r="F142" s="2">
        <v>2.0</v>
      </c>
      <c r="G142" s="7">
        <v>4.7</v>
      </c>
      <c r="H142" s="9">
        <v>4969559.1</v>
      </c>
      <c r="I142" s="9">
        <v>829984.0</v>
      </c>
      <c r="J142" s="10">
        <f t="shared" si="1"/>
        <v>216972.973</v>
      </c>
      <c r="K142" s="10">
        <f t="shared" si="2"/>
        <v>5987536.025</v>
      </c>
    </row>
    <row r="143" ht="15.75" customHeight="1">
      <c r="A143" s="2" t="s">
        <v>49</v>
      </c>
      <c r="B143" s="2">
        <v>2024.0</v>
      </c>
      <c r="C143" s="2">
        <v>2.0</v>
      </c>
      <c r="D143" s="7">
        <v>337636.0</v>
      </c>
      <c r="E143" s="7">
        <v>147.3</v>
      </c>
      <c r="F143" s="2">
        <v>3.0</v>
      </c>
      <c r="G143" s="7">
        <v>4.6</v>
      </c>
      <c r="H143" s="9">
        <v>4969559.1</v>
      </c>
      <c r="I143" s="9">
        <v>829984.0</v>
      </c>
      <c r="J143" s="10">
        <f t="shared" si="1"/>
        <v>229216.5648</v>
      </c>
      <c r="K143" s="10">
        <f t="shared" si="2"/>
        <v>5987536.025</v>
      </c>
    </row>
    <row r="144" ht="15.75" customHeight="1">
      <c r="A144" s="2" t="s">
        <v>49</v>
      </c>
      <c r="B144" s="2">
        <v>2024.0</v>
      </c>
      <c r="C144" s="2">
        <v>3.0</v>
      </c>
      <c r="D144" s="7">
        <v>338366.0</v>
      </c>
      <c r="E144" s="7">
        <v>148.866666666667</v>
      </c>
      <c r="F144" s="2">
        <v>3.0</v>
      </c>
      <c r="G144" s="7">
        <v>4.6</v>
      </c>
      <c r="H144" s="9">
        <v>4969559.1</v>
      </c>
      <c r="I144" s="9">
        <v>829984.0</v>
      </c>
      <c r="J144" s="10">
        <f t="shared" si="1"/>
        <v>227294.6708</v>
      </c>
      <c r="K144" s="10">
        <f t="shared" si="2"/>
        <v>5987536.025</v>
      </c>
    </row>
    <row r="145" ht="15.75" customHeight="1">
      <c r="A145" s="2" t="s">
        <v>49</v>
      </c>
      <c r="B145" s="2">
        <v>2024.0</v>
      </c>
      <c r="C145" s="2">
        <v>4.0</v>
      </c>
      <c r="D145" s="7">
        <v>376535.0</v>
      </c>
      <c r="E145" s="7">
        <v>151.8</v>
      </c>
      <c r="F145" s="2">
        <v>3.0</v>
      </c>
      <c r="G145" s="8"/>
      <c r="H145" s="9">
        <v>4969559.1</v>
      </c>
      <c r="I145" s="9">
        <v>829984.0</v>
      </c>
      <c r="J145" s="10">
        <f t="shared" si="1"/>
        <v>248046.7721</v>
      </c>
      <c r="K145" s="10">
        <f t="shared" si="2"/>
        <v>5987536.025</v>
      </c>
    </row>
    <row r="146" ht="15.75" customHeight="1">
      <c r="A146" s="2" t="s">
        <v>49</v>
      </c>
      <c r="B146" s="2">
        <v>2025.0</v>
      </c>
      <c r="C146" s="2">
        <v>1.0</v>
      </c>
      <c r="D146" s="7">
        <v>358873.0</v>
      </c>
      <c r="E146" s="7">
        <v>156.7</v>
      </c>
      <c r="F146" s="2">
        <v>3.0</v>
      </c>
      <c r="G146" s="8"/>
      <c r="H146" s="9">
        <v>6080972.0</v>
      </c>
      <c r="I146" s="9">
        <v>825569.0</v>
      </c>
      <c r="J146" s="10">
        <f t="shared" si="1"/>
        <v>229019.1449</v>
      </c>
      <c r="K146" s="10">
        <f t="shared" si="2"/>
        <v>7365794.985</v>
      </c>
    </row>
    <row r="147" ht="15.75" customHeight="1">
      <c r="A147" s="2" t="s">
        <v>49</v>
      </c>
      <c r="B147" s="2">
        <v>2025.0</v>
      </c>
      <c r="C147" s="2">
        <v>2.0</v>
      </c>
      <c r="D147" s="7">
        <v>381146.0</v>
      </c>
      <c r="E147" s="7">
        <v>161.9</v>
      </c>
      <c r="F147" s="2">
        <v>3.0</v>
      </c>
      <c r="G147" s="8"/>
      <c r="H147" s="9">
        <v>6080972.0</v>
      </c>
      <c r="I147" s="9">
        <v>825569.0</v>
      </c>
      <c r="J147" s="10">
        <f t="shared" si="1"/>
        <v>235420.63</v>
      </c>
      <c r="K147" s="10">
        <f t="shared" si="2"/>
        <v>7365794.985</v>
      </c>
    </row>
    <row r="148" ht="15.75" customHeight="1">
      <c r="A148" s="2" t="s">
        <v>49</v>
      </c>
      <c r="B148" s="2">
        <v>2025.0</v>
      </c>
      <c r="C148" s="2">
        <v>3.0</v>
      </c>
      <c r="D148" s="7">
        <v>377719.0</v>
      </c>
      <c r="E148" s="7">
        <v>165.666666666667</v>
      </c>
      <c r="F148" s="2">
        <v>3.0</v>
      </c>
      <c r="G148" s="8"/>
      <c r="H148" s="9">
        <v>6080972.0</v>
      </c>
      <c r="I148" s="9">
        <v>825569.0</v>
      </c>
      <c r="J148" s="10">
        <f t="shared" si="1"/>
        <v>227999.3964</v>
      </c>
      <c r="K148" s="10">
        <f t="shared" si="2"/>
        <v>7365794.985</v>
      </c>
    </row>
    <row r="149" ht="15.75" customHeight="1">
      <c r="A149" s="2" t="s">
        <v>49</v>
      </c>
      <c r="B149" s="2">
        <v>2025.0</v>
      </c>
      <c r="C149" s="2">
        <v>4.0</v>
      </c>
      <c r="D149" s="7">
        <v>416699.0</v>
      </c>
      <c r="E149" s="7">
        <v>169.933333333333</v>
      </c>
      <c r="F149" s="2">
        <v>3.0</v>
      </c>
      <c r="G149" s="8"/>
      <c r="H149" s="9">
        <v>6080972.0</v>
      </c>
      <c r="I149" s="9">
        <v>825569.0</v>
      </c>
      <c r="J149" s="10">
        <f t="shared" si="1"/>
        <v>245213.2209</v>
      </c>
      <c r="K149" s="10">
        <f t="shared" si="2"/>
        <v>7365794.985</v>
      </c>
    </row>
    <row r="150" ht="15.75" customHeight="1">
      <c r="A150" s="2" t="s">
        <v>49</v>
      </c>
      <c r="B150" s="2">
        <v>2026.0</v>
      </c>
      <c r="C150" s="2">
        <v>1.0</v>
      </c>
      <c r="D150" s="7">
        <v>394942.0</v>
      </c>
      <c r="E150" s="7">
        <v>174.466666666667</v>
      </c>
      <c r="F150" s="2">
        <v>3.0</v>
      </c>
      <c r="G150" s="8"/>
      <c r="H150" s="8"/>
      <c r="I150" s="8"/>
      <c r="J150" s="10">
        <f t="shared" si="1"/>
        <v>226371.0355</v>
      </c>
      <c r="K150" s="10" t="str">
        <f t="shared" si="2"/>
        <v/>
      </c>
    </row>
    <row r="151" ht="15.75" customHeight="1">
      <c r="A151" s="2" t="s">
        <v>49</v>
      </c>
      <c r="B151" s="2">
        <v>2026.0</v>
      </c>
      <c r="C151" s="2">
        <v>2.0</v>
      </c>
      <c r="D151" s="7">
        <v>412546.0</v>
      </c>
      <c r="E151" s="7">
        <v>178.9</v>
      </c>
      <c r="F151" s="2">
        <v>3.0</v>
      </c>
      <c r="G151" s="8"/>
      <c r="H151" s="8"/>
      <c r="I151" s="8"/>
      <c r="J151" s="10">
        <f t="shared" si="1"/>
        <v>230601.4533</v>
      </c>
      <c r="K151" s="10" t="str">
        <f t="shared" si="2"/>
        <v/>
      </c>
    </row>
    <row r="152" ht="15.75" customHeight="1">
      <c r="A152" s="2" t="s">
        <v>50</v>
      </c>
      <c r="B152" s="2">
        <v>2022.0</v>
      </c>
      <c r="C152" s="2">
        <v>4.0</v>
      </c>
      <c r="D152" s="7">
        <v>269987.0</v>
      </c>
      <c r="E152" s="8"/>
      <c r="F152" s="2"/>
      <c r="G152" s="7">
        <v>4.9</v>
      </c>
      <c r="H152" s="9">
        <v>2417399.0</v>
      </c>
      <c r="I152" s="9">
        <v>823251.0</v>
      </c>
      <c r="J152" s="10" t="str">
        <f t="shared" si="1"/>
        <v/>
      </c>
      <c r="K152" s="10">
        <f t="shared" si="2"/>
        <v>2936405.786</v>
      </c>
    </row>
    <row r="153" ht="15.75" customHeight="1">
      <c r="A153" s="2" t="s">
        <v>50</v>
      </c>
      <c r="B153" s="2">
        <v>2023.0</v>
      </c>
      <c r="C153" s="2">
        <v>1.0</v>
      </c>
      <c r="D153" s="7">
        <v>293498.0</v>
      </c>
      <c r="E153" s="7">
        <v>131.85</v>
      </c>
      <c r="F153" s="2">
        <v>2.0</v>
      </c>
      <c r="G153" s="7">
        <v>5.0</v>
      </c>
      <c r="H153" s="9">
        <v>2573511.3</v>
      </c>
      <c r="I153" s="9">
        <v>833666.0</v>
      </c>
      <c r="J153" s="10">
        <f t="shared" si="1"/>
        <v>222599.9242</v>
      </c>
      <c r="K153" s="10">
        <f t="shared" si="2"/>
        <v>3086981.237</v>
      </c>
    </row>
    <row r="154" ht="15.75" customHeight="1">
      <c r="A154" s="2" t="s">
        <v>50</v>
      </c>
      <c r="B154" s="2">
        <v>2023.0</v>
      </c>
      <c r="C154" s="2">
        <v>2.0</v>
      </c>
      <c r="D154" s="7">
        <v>330567.0</v>
      </c>
      <c r="E154" s="7">
        <v>134.5</v>
      </c>
      <c r="F154" s="2">
        <v>1.0</v>
      </c>
      <c r="G154" s="7">
        <v>4.9</v>
      </c>
      <c r="H154" s="9">
        <v>2573511.3</v>
      </c>
      <c r="I154" s="9">
        <v>833666.0</v>
      </c>
      <c r="J154" s="10">
        <f t="shared" si="1"/>
        <v>245774.7212</v>
      </c>
      <c r="K154" s="10">
        <f t="shared" si="2"/>
        <v>3086981.237</v>
      </c>
    </row>
    <row r="155" ht="15.75" customHeight="1">
      <c r="A155" s="2" t="s">
        <v>50</v>
      </c>
      <c r="B155" s="2">
        <v>2023.0</v>
      </c>
      <c r="C155" s="2">
        <v>3.0</v>
      </c>
      <c r="D155" s="7">
        <v>303675.0</v>
      </c>
      <c r="E155" s="7">
        <v>138.1</v>
      </c>
      <c r="F155" s="2">
        <v>1.0</v>
      </c>
      <c r="G155" s="7">
        <v>4.8</v>
      </c>
      <c r="H155" s="9">
        <v>2573511.3</v>
      </c>
      <c r="I155" s="9">
        <v>833666.0</v>
      </c>
      <c r="J155" s="10">
        <f t="shared" si="1"/>
        <v>219895.0036</v>
      </c>
      <c r="K155" s="10">
        <f t="shared" si="2"/>
        <v>3086981.237</v>
      </c>
    </row>
    <row r="156" ht="15.75" customHeight="1">
      <c r="A156" s="2" t="s">
        <v>50</v>
      </c>
      <c r="B156" s="2">
        <v>2023.0</v>
      </c>
      <c r="C156" s="2">
        <v>4.0</v>
      </c>
      <c r="D156" s="7">
        <v>325078.0</v>
      </c>
      <c r="E156" s="7">
        <v>140.4</v>
      </c>
      <c r="F156" s="2">
        <v>3.0</v>
      </c>
      <c r="G156" s="7">
        <v>4.8</v>
      </c>
      <c r="H156" s="9">
        <v>2573511.3</v>
      </c>
      <c r="I156" s="9">
        <v>833666.0</v>
      </c>
      <c r="J156" s="10">
        <f t="shared" si="1"/>
        <v>231537.037</v>
      </c>
      <c r="K156" s="10">
        <f t="shared" si="2"/>
        <v>3086981.237</v>
      </c>
    </row>
    <row r="157" ht="15.75" customHeight="1">
      <c r="A157" s="2" t="s">
        <v>50</v>
      </c>
      <c r="B157" s="2">
        <v>2024.0</v>
      </c>
      <c r="C157" s="2">
        <v>1.0</v>
      </c>
      <c r="D157" s="7">
        <v>329917.0</v>
      </c>
      <c r="E157" s="7">
        <v>143.15</v>
      </c>
      <c r="F157" s="2">
        <v>2.0</v>
      </c>
      <c r="G157" s="7">
        <v>4.9</v>
      </c>
      <c r="H157" s="9">
        <v>3073851.3</v>
      </c>
      <c r="I157" s="9">
        <v>841931.0</v>
      </c>
      <c r="J157" s="10">
        <f t="shared" si="1"/>
        <v>230469.4377</v>
      </c>
      <c r="K157" s="10">
        <f t="shared" si="2"/>
        <v>3650953.938</v>
      </c>
    </row>
    <row r="158" ht="15.75" customHeight="1">
      <c r="A158" s="2" t="s">
        <v>50</v>
      </c>
      <c r="B158" s="2">
        <v>2024.0</v>
      </c>
      <c r="C158" s="2">
        <v>2.0</v>
      </c>
      <c r="D158" s="7">
        <v>360840.0</v>
      </c>
      <c r="E158" s="7">
        <v>145.5</v>
      </c>
      <c r="F158" s="2">
        <v>3.0</v>
      </c>
      <c r="G158" s="7">
        <v>4.9</v>
      </c>
      <c r="H158" s="9">
        <v>3073851.3</v>
      </c>
      <c r="I158" s="9">
        <v>841931.0</v>
      </c>
      <c r="J158" s="10">
        <f t="shared" si="1"/>
        <v>248000</v>
      </c>
      <c r="K158" s="10">
        <f t="shared" si="2"/>
        <v>3650953.938</v>
      </c>
    </row>
    <row r="159" ht="15.75" customHeight="1">
      <c r="A159" s="2" t="s">
        <v>50</v>
      </c>
      <c r="B159" s="2">
        <v>2024.0</v>
      </c>
      <c r="C159" s="2">
        <v>3.0</v>
      </c>
      <c r="D159" s="7">
        <v>325206.0</v>
      </c>
      <c r="E159" s="7">
        <v>148.866666666667</v>
      </c>
      <c r="F159" s="2">
        <v>3.0</v>
      </c>
      <c r="G159" s="7">
        <v>4.8</v>
      </c>
      <c r="H159" s="9">
        <v>3073851.3</v>
      </c>
      <c r="I159" s="9">
        <v>841931.0</v>
      </c>
      <c r="J159" s="10">
        <f t="shared" si="1"/>
        <v>218454.5455</v>
      </c>
      <c r="K159" s="10">
        <f t="shared" si="2"/>
        <v>3650953.938</v>
      </c>
    </row>
    <row r="160" ht="15.75" customHeight="1">
      <c r="A160" s="2" t="s">
        <v>50</v>
      </c>
      <c r="B160" s="2">
        <v>2024.0</v>
      </c>
      <c r="C160" s="2">
        <v>4.0</v>
      </c>
      <c r="D160" s="7">
        <v>349918.0</v>
      </c>
      <c r="E160" s="7">
        <v>151.9</v>
      </c>
      <c r="F160" s="2">
        <v>3.0</v>
      </c>
      <c r="G160" s="8"/>
      <c r="H160" s="9">
        <v>3073851.3</v>
      </c>
      <c r="I160" s="9">
        <v>841931.0</v>
      </c>
      <c r="J160" s="10">
        <f t="shared" si="1"/>
        <v>230360.7637</v>
      </c>
      <c r="K160" s="10">
        <f t="shared" si="2"/>
        <v>3650953.938</v>
      </c>
    </row>
    <row r="161" ht="15.75" customHeight="1">
      <c r="A161" s="2" t="s">
        <v>50</v>
      </c>
      <c r="B161" s="2">
        <v>2025.0</v>
      </c>
      <c r="C161" s="2">
        <v>1.0</v>
      </c>
      <c r="D161" s="7">
        <v>354856.0</v>
      </c>
      <c r="E161" s="7">
        <v>155.933333333333</v>
      </c>
      <c r="F161" s="2">
        <v>3.0</v>
      </c>
      <c r="G161" s="8"/>
      <c r="H161" s="9">
        <v>3051041.2</v>
      </c>
      <c r="I161" s="9">
        <v>846104.0</v>
      </c>
      <c r="J161" s="10">
        <f t="shared" si="1"/>
        <v>227569.0466</v>
      </c>
      <c r="K161" s="10">
        <f t="shared" si="2"/>
        <v>3605988.389</v>
      </c>
    </row>
    <row r="162" ht="15.75" customHeight="1">
      <c r="A162" s="2" t="s">
        <v>50</v>
      </c>
      <c r="B162" s="2">
        <v>2025.0</v>
      </c>
      <c r="C162" s="2">
        <v>2.0</v>
      </c>
      <c r="D162" s="7">
        <v>395010.0</v>
      </c>
      <c r="E162" s="7">
        <v>160.7</v>
      </c>
      <c r="F162" s="2">
        <v>3.0</v>
      </c>
      <c r="G162" s="8"/>
      <c r="H162" s="9">
        <v>3051041.2</v>
      </c>
      <c r="I162" s="9">
        <v>846104.0</v>
      </c>
      <c r="J162" s="10">
        <f t="shared" si="1"/>
        <v>245805.8494</v>
      </c>
      <c r="K162" s="10">
        <f t="shared" si="2"/>
        <v>3605988.389</v>
      </c>
    </row>
    <row r="163" ht="15.75" customHeight="1">
      <c r="A163" s="2" t="s">
        <v>50</v>
      </c>
      <c r="B163" s="2">
        <v>2025.0</v>
      </c>
      <c r="C163" s="2">
        <v>3.0</v>
      </c>
      <c r="D163" s="7">
        <v>353237.0</v>
      </c>
      <c r="E163" s="7">
        <v>164.9</v>
      </c>
      <c r="F163" s="2">
        <v>3.0</v>
      </c>
      <c r="G163" s="8"/>
      <c r="H163" s="9">
        <v>3051041.2</v>
      </c>
      <c r="I163" s="9">
        <v>846104.0</v>
      </c>
      <c r="J163" s="10">
        <f t="shared" si="1"/>
        <v>214212.8563</v>
      </c>
      <c r="K163" s="10">
        <f t="shared" si="2"/>
        <v>3605988.389</v>
      </c>
    </row>
    <row r="164" ht="15.75" customHeight="1">
      <c r="A164" s="2" t="s">
        <v>50</v>
      </c>
      <c r="B164" s="2">
        <v>2025.0</v>
      </c>
      <c r="C164" s="2">
        <v>4.0</v>
      </c>
      <c r="D164" s="7">
        <v>376842.0</v>
      </c>
      <c r="E164" s="7">
        <v>169.6</v>
      </c>
      <c r="F164" s="2">
        <v>3.0</v>
      </c>
      <c r="G164" s="8"/>
      <c r="H164" s="9">
        <v>3051041.2</v>
      </c>
      <c r="I164" s="9">
        <v>846104.0</v>
      </c>
      <c r="J164" s="10">
        <f t="shared" si="1"/>
        <v>222194.5755</v>
      </c>
      <c r="K164" s="10">
        <f t="shared" si="2"/>
        <v>3605988.389</v>
      </c>
    </row>
    <row r="165" ht="15.75" customHeight="1">
      <c r="A165" s="2" t="s">
        <v>50</v>
      </c>
      <c r="B165" s="2">
        <v>2026.0</v>
      </c>
      <c r="C165" s="2">
        <v>1.0</v>
      </c>
      <c r="D165" s="7">
        <v>385193.0</v>
      </c>
      <c r="E165" s="7">
        <v>174.066666666667</v>
      </c>
      <c r="F165" s="2">
        <v>3.0</v>
      </c>
      <c r="G165" s="8"/>
      <c r="H165" s="8"/>
      <c r="I165" s="8"/>
      <c r="J165" s="10">
        <f t="shared" si="1"/>
        <v>221290.5017</v>
      </c>
      <c r="K165" s="10" t="str">
        <f t="shared" si="2"/>
        <v/>
      </c>
    </row>
    <row r="166" ht="15.75" customHeight="1">
      <c r="A166" s="2" t="s">
        <v>50</v>
      </c>
      <c r="B166" s="2">
        <v>2026.0</v>
      </c>
      <c r="C166" s="2">
        <v>2.0</v>
      </c>
      <c r="D166" s="7">
        <v>418672.0</v>
      </c>
      <c r="E166" s="7">
        <v>178.233333333333</v>
      </c>
      <c r="F166" s="2">
        <v>3.0</v>
      </c>
      <c r="G166" s="8"/>
      <c r="H166" s="8"/>
      <c r="I166" s="8"/>
      <c r="J166" s="10">
        <f t="shared" si="1"/>
        <v>234901.066</v>
      </c>
      <c r="K166" s="10" t="str">
        <f t="shared" si="2"/>
        <v/>
      </c>
    </row>
    <row r="167" ht="15.75" customHeight="1">
      <c r="A167" s="2" t="s">
        <v>51</v>
      </c>
      <c r="B167" s="2">
        <v>2022.0</v>
      </c>
      <c r="C167" s="2">
        <v>4.0</v>
      </c>
      <c r="D167" s="7">
        <v>509032.0</v>
      </c>
      <c r="E167" s="8"/>
      <c r="F167" s="2"/>
      <c r="G167" s="7">
        <v>5.0</v>
      </c>
      <c r="H167" s="9">
        <v>4401192.9</v>
      </c>
      <c r="I167" s="9">
        <v>745909.0</v>
      </c>
      <c r="J167" s="10" t="str">
        <f t="shared" si="1"/>
        <v/>
      </c>
      <c r="K167" s="10">
        <f t="shared" si="2"/>
        <v>5900442.145</v>
      </c>
    </row>
    <row r="168" ht="15.75" customHeight="1">
      <c r="A168" s="2" t="s">
        <v>51</v>
      </c>
      <c r="B168" s="2">
        <v>2023.0</v>
      </c>
      <c r="C168" s="2">
        <v>1.0</v>
      </c>
      <c r="D168" s="7">
        <v>509818.0</v>
      </c>
      <c r="E168" s="7">
        <v>137.55</v>
      </c>
      <c r="F168" s="2">
        <v>2.0</v>
      </c>
      <c r="G168" s="7">
        <v>5.0</v>
      </c>
      <c r="H168" s="9">
        <v>4798701.0</v>
      </c>
      <c r="I168" s="9">
        <v>767106.0</v>
      </c>
      <c r="J168" s="10">
        <f t="shared" si="1"/>
        <v>370641.9484</v>
      </c>
      <c r="K168" s="10">
        <f t="shared" si="2"/>
        <v>6255590.492</v>
      </c>
    </row>
    <row r="169" ht="15.75" customHeight="1">
      <c r="A169" s="2" t="s">
        <v>51</v>
      </c>
      <c r="B169" s="2">
        <v>2023.0</v>
      </c>
      <c r="C169" s="2">
        <v>2.0</v>
      </c>
      <c r="D169" s="7">
        <v>531208.0</v>
      </c>
      <c r="E169" s="7">
        <v>140.5</v>
      </c>
      <c r="F169" s="2">
        <v>1.0</v>
      </c>
      <c r="G169" s="7">
        <v>5.0</v>
      </c>
      <c r="H169" s="9">
        <v>4798701.0</v>
      </c>
      <c r="I169" s="9">
        <v>767106.0</v>
      </c>
      <c r="J169" s="10">
        <f t="shared" si="1"/>
        <v>378083.9858</v>
      </c>
      <c r="K169" s="10">
        <f t="shared" si="2"/>
        <v>6255590.492</v>
      </c>
    </row>
    <row r="170" ht="15.75" customHeight="1">
      <c r="A170" s="2" t="s">
        <v>51</v>
      </c>
      <c r="B170" s="2">
        <v>2023.0</v>
      </c>
      <c r="C170" s="2">
        <v>3.0</v>
      </c>
      <c r="D170" s="7">
        <v>519118.0</v>
      </c>
      <c r="E170" s="7">
        <v>144.4</v>
      </c>
      <c r="F170" s="2">
        <v>1.0</v>
      </c>
      <c r="G170" s="7">
        <v>5.1</v>
      </c>
      <c r="H170" s="9">
        <v>4798701.0</v>
      </c>
      <c r="I170" s="9">
        <v>767106.0</v>
      </c>
      <c r="J170" s="10">
        <f t="shared" si="1"/>
        <v>359500</v>
      </c>
      <c r="K170" s="10">
        <f t="shared" si="2"/>
        <v>6255590.492</v>
      </c>
    </row>
    <row r="171" ht="15.75" customHeight="1">
      <c r="A171" s="2" t="s">
        <v>51</v>
      </c>
      <c r="B171" s="2">
        <v>2023.0</v>
      </c>
      <c r="C171" s="2">
        <v>4.0</v>
      </c>
      <c r="D171" s="7">
        <v>559531.0</v>
      </c>
      <c r="E171" s="7">
        <v>148.2</v>
      </c>
      <c r="F171" s="2">
        <v>3.0</v>
      </c>
      <c r="G171" s="7">
        <v>5.0</v>
      </c>
      <c r="H171" s="9">
        <v>4798701.0</v>
      </c>
      <c r="I171" s="9">
        <v>767106.0</v>
      </c>
      <c r="J171" s="10">
        <f t="shared" si="1"/>
        <v>377551.2821</v>
      </c>
      <c r="K171" s="10">
        <f t="shared" si="2"/>
        <v>6255590.492</v>
      </c>
    </row>
    <row r="172" ht="15.75" customHeight="1">
      <c r="A172" s="2" t="s">
        <v>51</v>
      </c>
      <c r="B172" s="2">
        <v>2024.0</v>
      </c>
      <c r="C172" s="2">
        <v>1.0</v>
      </c>
      <c r="D172" s="7">
        <v>571403.0</v>
      </c>
      <c r="E172" s="7">
        <v>152.35</v>
      </c>
      <c r="F172" s="2">
        <v>2.0</v>
      </c>
      <c r="G172" s="7">
        <v>5.0</v>
      </c>
      <c r="H172" s="9">
        <v>5005139.0</v>
      </c>
      <c r="I172" s="9">
        <v>786841.0</v>
      </c>
      <c r="J172" s="10">
        <f t="shared" si="1"/>
        <v>375059.4027</v>
      </c>
      <c r="K172" s="10">
        <f t="shared" si="2"/>
        <v>6361055.156</v>
      </c>
    </row>
    <row r="173" ht="15.75" customHeight="1">
      <c r="A173" s="2" t="s">
        <v>51</v>
      </c>
      <c r="B173" s="2">
        <v>2024.0</v>
      </c>
      <c r="C173" s="2">
        <v>2.0</v>
      </c>
      <c r="D173" s="7">
        <v>579838.0</v>
      </c>
      <c r="E173" s="7">
        <v>156.3</v>
      </c>
      <c r="F173" s="2">
        <v>3.0</v>
      </c>
      <c r="G173" s="7">
        <v>4.9</v>
      </c>
      <c r="H173" s="9">
        <v>5005139.0</v>
      </c>
      <c r="I173" s="9">
        <v>786841.0</v>
      </c>
      <c r="J173" s="10">
        <f t="shared" si="1"/>
        <v>370977.6072</v>
      </c>
      <c r="K173" s="10">
        <f t="shared" si="2"/>
        <v>6361055.156</v>
      </c>
    </row>
    <row r="174" ht="15.75" customHeight="1">
      <c r="A174" s="2" t="s">
        <v>51</v>
      </c>
      <c r="B174" s="2">
        <v>2024.0</v>
      </c>
      <c r="C174" s="2">
        <v>3.0</v>
      </c>
      <c r="D174" s="7">
        <v>570233.0</v>
      </c>
      <c r="E174" s="7">
        <v>158.966666666667</v>
      </c>
      <c r="F174" s="2">
        <v>3.0</v>
      </c>
      <c r="G174" s="7">
        <v>5.0</v>
      </c>
      <c r="H174" s="9">
        <v>5005139.0</v>
      </c>
      <c r="I174" s="9">
        <v>786841.0</v>
      </c>
      <c r="J174" s="10">
        <f t="shared" si="1"/>
        <v>358712.3087</v>
      </c>
      <c r="K174" s="10">
        <f t="shared" si="2"/>
        <v>6361055.156</v>
      </c>
    </row>
    <row r="175" ht="15.75" customHeight="1">
      <c r="A175" s="2" t="s">
        <v>51</v>
      </c>
      <c r="B175" s="2">
        <v>2024.0</v>
      </c>
      <c r="C175" s="2">
        <v>4.0</v>
      </c>
      <c r="D175" s="7">
        <v>607867.0</v>
      </c>
      <c r="E175" s="7">
        <v>162.133333333333</v>
      </c>
      <c r="F175" s="2">
        <v>3.0</v>
      </c>
      <c r="G175" s="8"/>
      <c r="H175" s="9">
        <v>5005139.0</v>
      </c>
      <c r="I175" s="9">
        <v>786841.0</v>
      </c>
      <c r="J175" s="10">
        <f t="shared" si="1"/>
        <v>374917.9688</v>
      </c>
      <c r="K175" s="10">
        <f t="shared" si="2"/>
        <v>6361055.156</v>
      </c>
    </row>
    <row r="176" ht="15.75" customHeight="1">
      <c r="A176" s="2" t="s">
        <v>51</v>
      </c>
      <c r="B176" s="2">
        <v>2025.0</v>
      </c>
      <c r="C176" s="2">
        <v>1.0</v>
      </c>
      <c r="D176" s="7">
        <v>621320.0</v>
      </c>
      <c r="E176" s="7">
        <v>167.0</v>
      </c>
      <c r="F176" s="2">
        <v>3.0</v>
      </c>
      <c r="G176" s="8"/>
      <c r="H176" s="9">
        <v>5541598.9</v>
      </c>
      <c r="I176" s="9">
        <v>805156.0</v>
      </c>
      <c r="J176" s="10">
        <f t="shared" si="1"/>
        <v>372047.9042</v>
      </c>
      <c r="K176" s="10">
        <f t="shared" si="2"/>
        <v>6882640.01</v>
      </c>
    </row>
    <row r="177" ht="15.75" customHeight="1">
      <c r="A177" s="2" t="s">
        <v>51</v>
      </c>
      <c r="B177" s="2">
        <v>2025.0</v>
      </c>
      <c r="C177" s="2">
        <v>2.0</v>
      </c>
      <c r="D177" s="7">
        <v>629466.0</v>
      </c>
      <c r="E177" s="7">
        <v>171.8</v>
      </c>
      <c r="F177" s="2">
        <v>3.0</v>
      </c>
      <c r="G177" s="8"/>
      <c r="H177" s="9">
        <v>5541598.9</v>
      </c>
      <c r="I177" s="9">
        <v>805156.0</v>
      </c>
      <c r="J177" s="10">
        <f t="shared" si="1"/>
        <v>366394.6449</v>
      </c>
      <c r="K177" s="10">
        <f t="shared" si="2"/>
        <v>6882640.01</v>
      </c>
    </row>
    <row r="178" ht="15.75" customHeight="1">
      <c r="A178" s="2" t="s">
        <v>51</v>
      </c>
      <c r="B178" s="2">
        <v>2025.0</v>
      </c>
      <c r="C178" s="2">
        <v>3.0</v>
      </c>
      <c r="D178" s="7">
        <v>606125.0</v>
      </c>
      <c r="E178" s="7">
        <v>176.466666666667</v>
      </c>
      <c r="F178" s="2">
        <v>3.0</v>
      </c>
      <c r="G178" s="8"/>
      <c r="H178" s="9">
        <v>5541598.9</v>
      </c>
      <c r="I178" s="9">
        <v>805156.0</v>
      </c>
      <c r="J178" s="10">
        <f t="shared" si="1"/>
        <v>343478.4662</v>
      </c>
      <c r="K178" s="10">
        <f t="shared" si="2"/>
        <v>6882640.01</v>
      </c>
    </row>
    <row r="179" ht="15.75" customHeight="1">
      <c r="A179" s="2" t="s">
        <v>51</v>
      </c>
      <c r="B179" s="2">
        <v>2025.0</v>
      </c>
      <c r="C179" s="2">
        <v>4.0</v>
      </c>
      <c r="D179" s="7">
        <v>658762.0</v>
      </c>
      <c r="E179" s="7">
        <v>181.4</v>
      </c>
      <c r="F179" s="2">
        <v>3.0</v>
      </c>
      <c r="G179" s="8"/>
      <c r="H179" s="9">
        <v>5541598.9</v>
      </c>
      <c r="I179" s="9">
        <v>805156.0</v>
      </c>
      <c r="J179" s="10">
        <f t="shared" si="1"/>
        <v>363154.355</v>
      </c>
      <c r="K179" s="10">
        <f t="shared" si="2"/>
        <v>6882640.01</v>
      </c>
    </row>
    <row r="180" ht="15.75" customHeight="1">
      <c r="A180" s="2" t="s">
        <v>51</v>
      </c>
      <c r="B180" s="2">
        <v>2026.0</v>
      </c>
      <c r="C180" s="2">
        <v>1.0</v>
      </c>
      <c r="D180" s="7">
        <v>659801.0</v>
      </c>
      <c r="E180" s="7">
        <v>186.933333333333</v>
      </c>
      <c r="F180" s="2">
        <v>3.0</v>
      </c>
      <c r="G180" s="8"/>
      <c r="H180" s="8"/>
      <c r="I180" s="8"/>
      <c r="J180" s="10">
        <f t="shared" si="1"/>
        <v>352960.592</v>
      </c>
      <c r="K180" s="10" t="str">
        <f t="shared" si="2"/>
        <v/>
      </c>
    </row>
    <row r="181" ht="15.75" customHeight="1">
      <c r="A181" s="2" t="s">
        <v>51</v>
      </c>
      <c r="B181" s="2">
        <v>2026.0</v>
      </c>
      <c r="C181" s="2">
        <v>2.0</v>
      </c>
      <c r="D181" s="7">
        <v>673656.0</v>
      </c>
      <c r="E181" s="7">
        <v>191.3</v>
      </c>
      <c r="F181" s="2">
        <v>3.0</v>
      </c>
      <c r="G181" s="8"/>
      <c r="H181" s="8"/>
      <c r="I181" s="8"/>
      <c r="J181" s="10">
        <f t="shared" si="1"/>
        <v>352146.367</v>
      </c>
      <c r="K181" s="10" t="str">
        <f t="shared" si="2"/>
        <v/>
      </c>
    </row>
    <row r="182" ht="15.75" customHeight="1">
      <c r="A182" s="2" t="s">
        <v>52</v>
      </c>
      <c r="B182" s="2">
        <v>2022.0</v>
      </c>
      <c r="C182" s="2">
        <v>4.0</v>
      </c>
      <c r="D182" s="7">
        <v>308459.0</v>
      </c>
      <c r="E182" s="8"/>
      <c r="F182" s="2"/>
      <c r="G182" s="7">
        <v>4.8</v>
      </c>
      <c r="H182" s="9">
        <v>4296923.7</v>
      </c>
      <c r="I182" s="9">
        <v>756511.0</v>
      </c>
      <c r="J182" s="10" t="str">
        <f t="shared" si="1"/>
        <v/>
      </c>
      <c r="K182" s="10">
        <f t="shared" si="2"/>
        <v>5679922.301</v>
      </c>
    </row>
    <row r="183" ht="15.75" customHeight="1">
      <c r="A183" s="2" t="s">
        <v>52</v>
      </c>
      <c r="B183" s="2">
        <v>2023.0</v>
      </c>
      <c r="C183" s="2">
        <v>1.0</v>
      </c>
      <c r="D183" s="7">
        <v>303731.0</v>
      </c>
      <c r="E183" s="7">
        <v>132.45</v>
      </c>
      <c r="F183" s="2">
        <v>2.0</v>
      </c>
      <c r="G183" s="7">
        <v>4.8</v>
      </c>
      <c r="H183" s="9">
        <v>4371041.7</v>
      </c>
      <c r="I183" s="9">
        <v>754944.0</v>
      </c>
      <c r="J183" s="10">
        <f t="shared" si="1"/>
        <v>229317.4783</v>
      </c>
      <c r="K183" s="10">
        <f t="shared" si="2"/>
        <v>5789888.654</v>
      </c>
    </row>
    <row r="184" ht="15.75" customHeight="1">
      <c r="A184" s="2" t="s">
        <v>52</v>
      </c>
      <c r="B184" s="2">
        <v>2023.0</v>
      </c>
      <c r="C184" s="2">
        <v>2.0</v>
      </c>
      <c r="D184" s="7">
        <v>325051.0</v>
      </c>
      <c r="E184" s="7">
        <v>136.0</v>
      </c>
      <c r="F184" s="2">
        <v>1.0</v>
      </c>
      <c r="G184" s="7">
        <v>4.8</v>
      </c>
      <c r="H184" s="9">
        <v>4371041.7</v>
      </c>
      <c r="I184" s="9">
        <v>754944.0</v>
      </c>
      <c r="J184" s="10">
        <f t="shared" si="1"/>
        <v>239008.0882</v>
      </c>
      <c r="K184" s="10">
        <f t="shared" si="2"/>
        <v>5789888.654</v>
      </c>
    </row>
    <row r="185" ht="15.75" customHeight="1">
      <c r="A185" s="2" t="s">
        <v>52</v>
      </c>
      <c r="B185" s="2">
        <v>2023.0</v>
      </c>
      <c r="C185" s="2">
        <v>3.0</v>
      </c>
      <c r="D185" s="7">
        <v>320041.0</v>
      </c>
      <c r="E185" s="7">
        <v>137.4</v>
      </c>
      <c r="F185" s="2">
        <v>1.0</v>
      </c>
      <c r="G185" s="7">
        <v>4.8</v>
      </c>
      <c r="H185" s="9">
        <v>4371041.7</v>
      </c>
      <c r="I185" s="9">
        <v>754944.0</v>
      </c>
      <c r="J185" s="10">
        <f t="shared" si="1"/>
        <v>232926.492</v>
      </c>
      <c r="K185" s="10">
        <f t="shared" si="2"/>
        <v>5789888.654</v>
      </c>
    </row>
    <row r="186" ht="15.75" customHeight="1">
      <c r="A186" s="2" t="s">
        <v>52</v>
      </c>
      <c r="B186" s="2">
        <v>2023.0</v>
      </c>
      <c r="C186" s="2">
        <v>4.0</v>
      </c>
      <c r="D186" s="7">
        <v>371133.0</v>
      </c>
      <c r="E186" s="7">
        <v>141.133333333333</v>
      </c>
      <c r="F186" s="2">
        <v>3.0</v>
      </c>
      <c r="G186" s="7">
        <v>4.7</v>
      </c>
      <c r="H186" s="9">
        <v>4371041.7</v>
      </c>
      <c r="I186" s="9">
        <v>754944.0</v>
      </c>
      <c r="J186" s="10">
        <f t="shared" si="1"/>
        <v>262966.2258</v>
      </c>
      <c r="K186" s="10">
        <f t="shared" si="2"/>
        <v>5789888.654</v>
      </c>
    </row>
    <row r="187" ht="15.75" customHeight="1">
      <c r="A187" s="2" t="s">
        <v>52</v>
      </c>
      <c r="B187" s="2">
        <v>2024.0</v>
      </c>
      <c r="C187" s="2">
        <v>1.0</v>
      </c>
      <c r="D187" s="7">
        <v>352036.0</v>
      </c>
      <c r="E187" s="7">
        <v>145.45</v>
      </c>
      <c r="F187" s="2">
        <v>2.0</v>
      </c>
      <c r="G187" s="7">
        <v>4.7</v>
      </c>
      <c r="H187" s="9">
        <v>5150822.2</v>
      </c>
      <c r="I187" s="9">
        <v>753934.0</v>
      </c>
      <c r="J187" s="10">
        <f t="shared" si="1"/>
        <v>242032.3135</v>
      </c>
      <c r="K187" s="10">
        <f t="shared" si="2"/>
        <v>6831927.198</v>
      </c>
    </row>
    <row r="188" ht="15.75" customHeight="1">
      <c r="A188" s="2" t="s">
        <v>52</v>
      </c>
      <c r="B188" s="2">
        <v>2024.0</v>
      </c>
      <c r="C188" s="2">
        <v>2.0</v>
      </c>
      <c r="D188" s="7">
        <v>366922.0</v>
      </c>
      <c r="E188" s="7">
        <v>148.6</v>
      </c>
      <c r="F188" s="2">
        <v>3.0</v>
      </c>
      <c r="G188" s="7">
        <v>4.8</v>
      </c>
      <c r="H188" s="9">
        <v>5150822.2</v>
      </c>
      <c r="I188" s="9">
        <v>753934.0</v>
      </c>
      <c r="J188" s="10">
        <f t="shared" si="1"/>
        <v>246919.2463</v>
      </c>
      <c r="K188" s="10">
        <f t="shared" si="2"/>
        <v>6831927.198</v>
      </c>
    </row>
    <row r="189" ht="15.75" customHeight="1">
      <c r="A189" s="2" t="s">
        <v>52</v>
      </c>
      <c r="B189" s="2">
        <v>2024.0</v>
      </c>
      <c r="C189" s="2">
        <v>3.0</v>
      </c>
      <c r="D189" s="7">
        <v>361065.0</v>
      </c>
      <c r="E189" s="7">
        <v>150.466666666667</v>
      </c>
      <c r="F189" s="2">
        <v>3.0</v>
      </c>
      <c r="G189" s="7">
        <v>4.7</v>
      </c>
      <c r="H189" s="9">
        <v>5150822.2</v>
      </c>
      <c r="I189" s="9">
        <v>753934.0</v>
      </c>
      <c r="J189" s="10">
        <f t="shared" si="1"/>
        <v>239963.4471</v>
      </c>
      <c r="K189" s="10">
        <f t="shared" si="2"/>
        <v>6831927.198</v>
      </c>
    </row>
    <row r="190" ht="15.75" customHeight="1">
      <c r="A190" s="2" t="s">
        <v>52</v>
      </c>
      <c r="B190" s="2">
        <v>2024.0</v>
      </c>
      <c r="C190" s="2">
        <v>4.0</v>
      </c>
      <c r="D190" s="7">
        <v>408370.0</v>
      </c>
      <c r="E190" s="7">
        <v>152.4</v>
      </c>
      <c r="F190" s="2">
        <v>3.0</v>
      </c>
      <c r="G190" s="8"/>
      <c r="H190" s="9">
        <v>5150822.2</v>
      </c>
      <c r="I190" s="9">
        <v>753934.0</v>
      </c>
      <c r="J190" s="10">
        <f t="shared" si="1"/>
        <v>267959.3176</v>
      </c>
      <c r="K190" s="10">
        <f t="shared" si="2"/>
        <v>6831927.198</v>
      </c>
    </row>
    <row r="191" ht="15.75" customHeight="1">
      <c r="A191" s="2" t="s">
        <v>52</v>
      </c>
      <c r="B191" s="2">
        <v>2025.0</v>
      </c>
      <c r="C191" s="2">
        <v>1.0</v>
      </c>
      <c r="D191" s="7">
        <v>399489.0</v>
      </c>
      <c r="E191" s="7">
        <v>156.233333333333</v>
      </c>
      <c r="F191" s="2">
        <v>3.0</v>
      </c>
      <c r="G191" s="8"/>
      <c r="H191" s="9">
        <v>6357587.1</v>
      </c>
      <c r="I191" s="9">
        <v>751018.0</v>
      </c>
      <c r="J191" s="10">
        <f t="shared" si="1"/>
        <v>255700.2347</v>
      </c>
      <c r="K191" s="10">
        <f t="shared" si="2"/>
        <v>8465292.576</v>
      </c>
    </row>
    <row r="192" ht="15.75" customHeight="1">
      <c r="A192" s="2" t="s">
        <v>52</v>
      </c>
      <c r="B192" s="2">
        <v>2025.0</v>
      </c>
      <c r="C192" s="2">
        <v>2.0</v>
      </c>
      <c r="D192" s="7">
        <v>411735.0</v>
      </c>
      <c r="E192" s="7">
        <v>162.066666666667</v>
      </c>
      <c r="F192" s="2">
        <v>3.0</v>
      </c>
      <c r="G192" s="8"/>
      <c r="H192" s="9">
        <v>6357587.1</v>
      </c>
      <c r="I192" s="9">
        <v>751018.0</v>
      </c>
      <c r="J192" s="10">
        <f t="shared" si="1"/>
        <v>254052.8589</v>
      </c>
      <c r="K192" s="10">
        <f t="shared" si="2"/>
        <v>8465292.576</v>
      </c>
    </row>
    <row r="193" ht="15.75" customHeight="1">
      <c r="A193" s="2" t="s">
        <v>52</v>
      </c>
      <c r="B193" s="2">
        <v>2025.0</v>
      </c>
      <c r="C193" s="2">
        <v>3.0</v>
      </c>
      <c r="D193" s="7">
        <v>405705.0</v>
      </c>
      <c r="E193" s="7">
        <v>167.233333333333</v>
      </c>
      <c r="F193" s="2">
        <v>3.0</v>
      </c>
      <c r="G193" s="8"/>
      <c r="H193" s="9">
        <v>6357587.1</v>
      </c>
      <c r="I193" s="9">
        <v>751018.0</v>
      </c>
      <c r="J193" s="10">
        <f t="shared" si="1"/>
        <v>242598.1662</v>
      </c>
      <c r="K193" s="10">
        <f t="shared" si="2"/>
        <v>8465292.576</v>
      </c>
    </row>
    <row r="194" ht="15.75" customHeight="1">
      <c r="A194" s="2" t="s">
        <v>52</v>
      </c>
      <c r="B194" s="2">
        <v>2025.0</v>
      </c>
      <c r="C194" s="2">
        <v>4.0</v>
      </c>
      <c r="D194" s="7">
        <v>453898.0</v>
      </c>
      <c r="E194" s="7">
        <v>172.0</v>
      </c>
      <c r="F194" s="2">
        <v>3.0</v>
      </c>
      <c r="G194" s="8"/>
      <c r="H194" s="9">
        <v>6357587.1</v>
      </c>
      <c r="I194" s="9">
        <v>751018.0</v>
      </c>
      <c r="J194" s="10">
        <f t="shared" si="1"/>
        <v>263894.186</v>
      </c>
      <c r="K194" s="10">
        <f t="shared" si="2"/>
        <v>8465292.576</v>
      </c>
    </row>
    <row r="195" ht="15.75" customHeight="1">
      <c r="A195" s="2" t="s">
        <v>52</v>
      </c>
      <c r="B195" s="2">
        <v>2026.0</v>
      </c>
      <c r="C195" s="2">
        <v>1.0</v>
      </c>
      <c r="D195" s="7">
        <v>448906.0</v>
      </c>
      <c r="E195" s="7">
        <v>176.5</v>
      </c>
      <c r="F195" s="2">
        <v>3.0</v>
      </c>
      <c r="G195" s="8"/>
      <c r="H195" s="8"/>
      <c r="I195" s="8"/>
      <c r="J195" s="10">
        <f t="shared" si="1"/>
        <v>254337.6771</v>
      </c>
      <c r="K195" s="10" t="str">
        <f t="shared" si="2"/>
        <v/>
      </c>
    </row>
    <row r="196" ht="15.75" customHeight="1">
      <c r="A196" s="2" t="s">
        <v>52</v>
      </c>
      <c r="B196" s="2">
        <v>2026.0</v>
      </c>
      <c r="C196" s="2">
        <v>2.0</v>
      </c>
      <c r="D196" s="7">
        <v>450583.0</v>
      </c>
      <c r="E196" s="7">
        <v>179.966666666667</v>
      </c>
      <c r="F196" s="2">
        <v>3.0</v>
      </c>
      <c r="G196" s="8"/>
      <c r="H196" s="8"/>
      <c r="I196" s="8"/>
      <c r="J196" s="10">
        <f t="shared" si="1"/>
        <v>250370.2538</v>
      </c>
      <c r="K196" s="10" t="str">
        <f t="shared" si="2"/>
        <v/>
      </c>
    </row>
    <row r="197" ht="15.75" customHeight="1">
      <c r="A197" s="2" t="s">
        <v>53</v>
      </c>
      <c r="B197" s="2">
        <v>2022.0</v>
      </c>
      <c r="C197" s="2">
        <v>4.0</v>
      </c>
      <c r="D197" s="7">
        <v>338715.0</v>
      </c>
      <c r="E197" s="8"/>
      <c r="F197" s="2"/>
      <c r="G197" s="7">
        <v>4.8</v>
      </c>
      <c r="H197" s="9">
        <v>1.037655182E8</v>
      </c>
      <c r="I197" s="9">
        <v>1.9503159E7</v>
      </c>
      <c r="J197" s="10" t="str">
        <f t="shared" si="1"/>
        <v/>
      </c>
      <c r="K197" s="10">
        <f t="shared" si="2"/>
        <v>5320446.713</v>
      </c>
    </row>
    <row r="198" ht="15.75" customHeight="1">
      <c r="A198" s="2" t="s">
        <v>53</v>
      </c>
      <c r="B198" s="2">
        <v>2023.0</v>
      </c>
      <c r="C198" s="2">
        <v>1.0</v>
      </c>
      <c r="D198" s="7">
        <v>340556.0</v>
      </c>
      <c r="E198" s="7">
        <v>132.65</v>
      </c>
      <c r="F198" s="2">
        <v>2.0</v>
      </c>
      <c r="G198" s="7">
        <v>4.8</v>
      </c>
      <c r="H198" s="9">
        <v>1.194422897E8</v>
      </c>
      <c r="I198" s="9">
        <v>1.9766807E7</v>
      </c>
      <c r="J198" s="10">
        <f t="shared" si="1"/>
        <v>256732.7554</v>
      </c>
      <c r="K198" s="10">
        <f t="shared" si="2"/>
        <v>6042568.721</v>
      </c>
    </row>
    <row r="199" ht="15.75" customHeight="1">
      <c r="A199" s="2" t="s">
        <v>53</v>
      </c>
      <c r="B199" s="2">
        <v>2023.0</v>
      </c>
      <c r="C199" s="2">
        <v>2.0</v>
      </c>
      <c r="D199" s="7">
        <v>365502.0</v>
      </c>
      <c r="E199" s="7">
        <v>135.9</v>
      </c>
      <c r="F199" s="2">
        <v>1.0</v>
      </c>
      <c r="G199" s="7">
        <v>4.7</v>
      </c>
      <c r="H199" s="9">
        <v>1.194422897E8</v>
      </c>
      <c r="I199" s="9">
        <v>1.9766807E7</v>
      </c>
      <c r="J199" s="10">
        <f t="shared" si="1"/>
        <v>268949.2274</v>
      </c>
      <c r="K199" s="10">
        <f t="shared" si="2"/>
        <v>6042568.721</v>
      </c>
    </row>
    <row r="200" ht="15.75" customHeight="1">
      <c r="A200" s="2" t="s">
        <v>53</v>
      </c>
      <c r="B200" s="2">
        <v>2023.0</v>
      </c>
      <c r="C200" s="2">
        <v>3.0</v>
      </c>
      <c r="D200" s="7">
        <v>350542.0</v>
      </c>
      <c r="E200" s="7">
        <v>139.0</v>
      </c>
      <c r="F200" s="2">
        <v>1.0</v>
      </c>
      <c r="G200" s="7">
        <v>4.7</v>
      </c>
      <c r="H200" s="9">
        <v>1.194422897E8</v>
      </c>
      <c r="I200" s="9">
        <v>1.9766807E7</v>
      </c>
      <c r="J200" s="10">
        <f t="shared" si="1"/>
        <v>252188.4892</v>
      </c>
      <c r="K200" s="10">
        <f t="shared" si="2"/>
        <v>6042568.721</v>
      </c>
    </row>
    <row r="201" ht="15.75" customHeight="1">
      <c r="A201" s="2" t="s">
        <v>53</v>
      </c>
      <c r="B201" s="2">
        <v>2023.0</v>
      </c>
      <c r="C201" s="2">
        <v>4.0</v>
      </c>
      <c r="D201" s="7">
        <v>393605.0</v>
      </c>
      <c r="E201" s="7">
        <v>142.033333333333</v>
      </c>
      <c r="F201" s="2">
        <v>3.0</v>
      </c>
      <c r="G201" s="7">
        <v>4.7</v>
      </c>
      <c r="H201" s="9">
        <v>1.194422897E8</v>
      </c>
      <c r="I201" s="9">
        <v>1.9766807E7</v>
      </c>
      <c r="J201" s="10">
        <f t="shared" si="1"/>
        <v>277121.5677</v>
      </c>
      <c r="K201" s="10">
        <f t="shared" si="2"/>
        <v>6042568.721</v>
      </c>
    </row>
    <row r="202" ht="15.75" customHeight="1">
      <c r="A202" s="2" t="s">
        <v>53</v>
      </c>
      <c r="B202" s="2">
        <v>2025.0</v>
      </c>
      <c r="C202" s="2">
        <v>2.0</v>
      </c>
      <c r="D202" s="7">
        <v>448620.0</v>
      </c>
      <c r="E202" s="7">
        <v>164.966666666667</v>
      </c>
      <c r="F202" s="2">
        <v>3.0</v>
      </c>
      <c r="G202" s="8"/>
      <c r="H202" s="9">
        <v>1.596085529E8</v>
      </c>
      <c r="I202" s="9">
        <v>2.0283399E7</v>
      </c>
      <c r="J202" s="10">
        <f t="shared" si="1"/>
        <v>271945.8476</v>
      </c>
      <c r="K202" s="10">
        <f t="shared" si="2"/>
        <v>7868925.366</v>
      </c>
    </row>
    <row r="203" ht="15.75" customHeight="1">
      <c r="A203" s="2" t="s">
        <v>53</v>
      </c>
      <c r="B203" s="2">
        <v>2025.0</v>
      </c>
      <c r="C203" s="2">
        <v>3.0</v>
      </c>
      <c r="D203" s="7">
        <v>429368.0</v>
      </c>
      <c r="E203" s="7">
        <v>169.2</v>
      </c>
      <c r="F203" s="2">
        <v>3.0</v>
      </c>
      <c r="G203" s="8"/>
      <c r="H203" s="9">
        <v>1.596085529E8</v>
      </c>
      <c r="I203" s="9">
        <v>2.0283399E7</v>
      </c>
      <c r="J203" s="10">
        <f t="shared" si="1"/>
        <v>253763.5934</v>
      </c>
      <c r="K203" s="10">
        <f t="shared" si="2"/>
        <v>7868925.366</v>
      </c>
    </row>
    <row r="204" ht="15.75" customHeight="1">
      <c r="A204" s="2" t="s">
        <v>54</v>
      </c>
      <c r="B204" s="2">
        <v>2022.0</v>
      </c>
      <c r="C204" s="2">
        <v>4.0</v>
      </c>
      <c r="D204" s="7">
        <v>323726.0</v>
      </c>
      <c r="E204" s="8"/>
      <c r="F204" s="2"/>
      <c r="G204" s="7">
        <v>4.8</v>
      </c>
      <c r="H204" s="9">
        <v>3916818.1</v>
      </c>
      <c r="I204" s="9">
        <v>732966.0</v>
      </c>
      <c r="J204" s="10" t="str">
        <f t="shared" si="1"/>
        <v/>
      </c>
      <c r="K204" s="10">
        <f t="shared" si="2"/>
        <v>5343792.345</v>
      </c>
    </row>
    <row r="205" ht="15.75" customHeight="1">
      <c r="A205" s="2" t="s">
        <v>54</v>
      </c>
      <c r="B205" s="2">
        <v>2023.0</v>
      </c>
      <c r="C205" s="2">
        <v>1.0</v>
      </c>
      <c r="D205" s="7">
        <v>328528.0</v>
      </c>
      <c r="E205" s="7">
        <v>133.0</v>
      </c>
      <c r="F205" s="2">
        <v>2.0</v>
      </c>
      <c r="G205" s="7">
        <v>4.7</v>
      </c>
      <c r="H205" s="9">
        <v>4459056.1</v>
      </c>
      <c r="I205" s="9">
        <v>730238.0</v>
      </c>
      <c r="J205" s="10">
        <f t="shared" si="1"/>
        <v>247013.5338</v>
      </c>
      <c r="K205" s="10">
        <f t="shared" si="2"/>
        <v>6106305.205</v>
      </c>
    </row>
    <row r="206" ht="15.75" customHeight="1">
      <c r="A206" s="2" t="s">
        <v>54</v>
      </c>
      <c r="B206" s="2">
        <v>2023.0</v>
      </c>
      <c r="C206" s="2">
        <v>2.0</v>
      </c>
      <c r="D206" s="7">
        <v>336045.0</v>
      </c>
      <c r="E206" s="7">
        <v>136.8</v>
      </c>
      <c r="F206" s="2">
        <v>1.0</v>
      </c>
      <c r="G206" s="7">
        <v>4.7</v>
      </c>
      <c r="H206" s="9">
        <v>4459056.1</v>
      </c>
      <c r="I206" s="9">
        <v>730238.0</v>
      </c>
      <c r="J206" s="10">
        <f t="shared" si="1"/>
        <v>245646.9298</v>
      </c>
      <c r="K206" s="10">
        <f t="shared" si="2"/>
        <v>6106305.205</v>
      </c>
    </row>
    <row r="207" ht="15.75" customHeight="1">
      <c r="A207" s="2" t="s">
        <v>54</v>
      </c>
      <c r="B207" s="2">
        <v>2023.0</v>
      </c>
      <c r="C207" s="2">
        <v>3.0</v>
      </c>
      <c r="D207" s="7">
        <v>316667.0</v>
      </c>
      <c r="E207" s="7">
        <v>140.0</v>
      </c>
      <c r="F207" s="2">
        <v>1.0</v>
      </c>
      <c r="G207" s="7">
        <v>4.6</v>
      </c>
      <c r="H207" s="9">
        <v>4459056.1</v>
      </c>
      <c r="I207" s="9">
        <v>730238.0</v>
      </c>
      <c r="J207" s="10">
        <f t="shared" si="1"/>
        <v>226190.7143</v>
      </c>
      <c r="K207" s="10">
        <f t="shared" si="2"/>
        <v>6106305.205</v>
      </c>
    </row>
    <row r="208" ht="15.75" customHeight="1">
      <c r="A208" s="2" t="s">
        <v>54</v>
      </c>
      <c r="B208" s="2">
        <v>2023.0</v>
      </c>
      <c r="C208" s="2">
        <v>4.0</v>
      </c>
      <c r="D208" s="7">
        <v>373984.0</v>
      </c>
      <c r="E208" s="7">
        <v>143.033333333333</v>
      </c>
      <c r="F208" s="2">
        <v>3.0</v>
      </c>
      <c r="G208" s="7">
        <v>4.6</v>
      </c>
      <c r="H208" s="9">
        <v>4459056.1</v>
      </c>
      <c r="I208" s="9">
        <v>730238.0</v>
      </c>
      <c r="J208" s="10">
        <f t="shared" si="1"/>
        <v>261466.3249</v>
      </c>
      <c r="K208" s="10">
        <f t="shared" si="2"/>
        <v>6106305.205</v>
      </c>
    </row>
    <row r="209" ht="15.75" customHeight="1">
      <c r="A209" s="2" t="s">
        <v>54</v>
      </c>
      <c r="B209" s="2">
        <v>2024.0</v>
      </c>
      <c r="C209" s="2">
        <v>1.0</v>
      </c>
      <c r="D209" s="7">
        <v>376519.0</v>
      </c>
      <c r="E209" s="7">
        <v>147.25</v>
      </c>
      <c r="F209" s="2">
        <v>2.0</v>
      </c>
      <c r="G209" s="7">
        <v>4.6</v>
      </c>
      <c r="H209" s="9">
        <v>5035142.0</v>
      </c>
      <c r="I209" s="9">
        <v>727053.0</v>
      </c>
      <c r="J209" s="10">
        <f t="shared" si="1"/>
        <v>255700.5093</v>
      </c>
      <c r="K209" s="10">
        <f t="shared" si="2"/>
        <v>6925412.59</v>
      </c>
    </row>
    <row r="210" ht="15.75" customHeight="1">
      <c r="A210" s="2" t="s">
        <v>54</v>
      </c>
      <c r="B210" s="2">
        <v>2024.0</v>
      </c>
      <c r="C210" s="2">
        <v>2.0</v>
      </c>
      <c r="D210" s="7">
        <v>374924.0</v>
      </c>
      <c r="E210" s="7">
        <v>150.3</v>
      </c>
      <c r="F210" s="2">
        <v>3.0</v>
      </c>
      <c r="G210" s="7">
        <v>4.6</v>
      </c>
      <c r="H210" s="9">
        <v>5035142.0</v>
      </c>
      <c r="I210" s="9">
        <v>727053.0</v>
      </c>
      <c r="J210" s="10">
        <f t="shared" si="1"/>
        <v>249450.4325</v>
      </c>
      <c r="K210" s="10">
        <f t="shared" si="2"/>
        <v>6925412.59</v>
      </c>
    </row>
    <row r="211" ht="15.75" customHeight="1">
      <c r="A211" s="2" t="s">
        <v>54</v>
      </c>
      <c r="B211" s="2">
        <v>2024.0</v>
      </c>
      <c r="C211" s="2">
        <v>3.0</v>
      </c>
      <c r="D211" s="7">
        <v>360098.0</v>
      </c>
      <c r="E211" s="7">
        <v>152.8</v>
      </c>
      <c r="F211" s="2">
        <v>3.0</v>
      </c>
      <c r="G211" s="7">
        <v>4.6</v>
      </c>
      <c r="H211" s="9">
        <v>5035142.0</v>
      </c>
      <c r="I211" s="9">
        <v>727053.0</v>
      </c>
      <c r="J211" s="10">
        <f t="shared" si="1"/>
        <v>235666.2304</v>
      </c>
      <c r="K211" s="10">
        <f t="shared" si="2"/>
        <v>6925412.59</v>
      </c>
    </row>
    <row r="212" ht="15.75" customHeight="1">
      <c r="A212" s="2" t="s">
        <v>54</v>
      </c>
      <c r="B212" s="2">
        <v>2024.0</v>
      </c>
      <c r="C212" s="2">
        <v>4.0</v>
      </c>
      <c r="D212" s="7">
        <v>413258.0</v>
      </c>
      <c r="E212" s="7">
        <v>155.833333333333</v>
      </c>
      <c r="F212" s="2">
        <v>3.0</v>
      </c>
      <c r="G212" s="8"/>
      <c r="H212" s="9">
        <v>5035142.0</v>
      </c>
      <c r="I212" s="9">
        <v>727053.0</v>
      </c>
      <c r="J212" s="10">
        <f t="shared" si="1"/>
        <v>265192.2995</v>
      </c>
      <c r="K212" s="10">
        <f t="shared" si="2"/>
        <v>6925412.59</v>
      </c>
    </row>
    <row r="213" ht="15.75" customHeight="1">
      <c r="A213" s="2" t="s">
        <v>54</v>
      </c>
      <c r="B213" s="2">
        <v>2025.0</v>
      </c>
      <c r="C213" s="2">
        <v>1.0</v>
      </c>
      <c r="D213" s="7">
        <v>404799.0</v>
      </c>
      <c r="E213" s="7">
        <v>161.366666666667</v>
      </c>
      <c r="F213" s="2">
        <v>3.0</v>
      </c>
      <c r="G213" s="8"/>
      <c r="H213" s="9">
        <v>5846091.3</v>
      </c>
      <c r="I213" s="9">
        <v>723967.0</v>
      </c>
      <c r="J213" s="10">
        <f t="shared" si="1"/>
        <v>250856.6412</v>
      </c>
      <c r="K213" s="10">
        <f t="shared" si="2"/>
        <v>8075079.803</v>
      </c>
    </row>
    <row r="214" ht="15.75" customHeight="1">
      <c r="A214" s="2" t="s">
        <v>54</v>
      </c>
      <c r="B214" s="2">
        <v>2025.0</v>
      </c>
      <c r="C214" s="2">
        <v>2.0</v>
      </c>
      <c r="D214" s="7">
        <v>417717.0</v>
      </c>
      <c r="E214" s="7">
        <v>167.033333333333</v>
      </c>
      <c r="F214" s="2">
        <v>3.0</v>
      </c>
      <c r="G214" s="8"/>
      <c r="H214" s="9">
        <v>5846091.3</v>
      </c>
      <c r="I214" s="9">
        <v>723967.0</v>
      </c>
      <c r="J214" s="10">
        <f t="shared" si="1"/>
        <v>250080.0239</v>
      </c>
      <c r="K214" s="10">
        <f t="shared" si="2"/>
        <v>8075079.803</v>
      </c>
    </row>
    <row r="215" ht="15.75" customHeight="1">
      <c r="A215" s="2" t="s">
        <v>54</v>
      </c>
      <c r="B215" s="2">
        <v>2025.0</v>
      </c>
      <c r="C215" s="2">
        <v>3.0</v>
      </c>
      <c r="D215" s="7">
        <v>400007.0</v>
      </c>
      <c r="E215" s="7">
        <v>171.066666666667</v>
      </c>
      <c r="F215" s="2">
        <v>3.0</v>
      </c>
      <c r="G215" s="8"/>
      <c r="H215" s="9">
        <v>5846091.3</v>
      </c>
      <c r="I215" s="9">
        <v>723967.0</v>
      </c>
      <c r="J215" s="10">
        <f t="shared" si="1"/>
        <v>233831.06</v>
      </c>
      <c r="K215" s="10">
        <f t="shared" si="2"/>
        <v>8075079.803</v>
      </c>
    </row>
    <row r="216" ht="15.75" customHeight="1">
      <c r="A216" s="2" t="s">
        <v>54</v>
      </c>
      <c r="B216" s="2">
        <v>2025.0</v>
      </c>
      <c r="C216" s="2">
        <v>4.0</v>
      </c>
      <c r="D216" s="7">
        <v>454763.0</v>
      </c>
      <c r="E216" s="7">
        <v>175.166666666667</v>
      </c>
      <c r="F216" s="2">
        <v>3.0</v>
      </c>
      <c r="G216" s="8"/>
      <c r="H216" s="9">
        <v>5846091.3</v>
      </c>
      <c r="I216" s="9">
        <v>723967.0</v>
      </c>
      <c r="J216" s="10">
        <f t="shared" si="1"/>
        <v>259617.3168</v>
      </c>
      <c r="K216" s="10">
        <f t="shared" si="2"/>
        <v>8075079.803</v>
      </c>
    </row>
    <row r="217" ht="15.75" customHeight="1">
      <c r="A217" s="2" t="s">
        <v>54</v>
      </c>
      <c r="B217" s="2">
        <v>2026.0</v>
      </c>
      <c r="C217" s="2">
        <v>1.0</v>
      </c>
      <c r="D217" s="7">
        <v>438659.0</v>
      </c>
      <c r="E217" s="7">
        <v>180.1</v>
      </c>
      <c r="F217" s="2">
        <v>3.0</v>
      </c>
      <c r="G217" s="8"/>
      <c r="H217" s="8"/>
      <c r="I217" s="8"/>
      <c r="J217" s="10">
        <f t="shared" si="1"/>
        <v>243564.131</v>
      </c>
      <c r="K217" s="10" t="str">
        <f t="shared" si="2"/>
        <v/>
      </c>
    </row>
    <row r="218" ht="15.75" customHeight="1">
      <c r="A218" s="2" t="s">
        <v>54</v>
      </c>
      <c r="B218" s="2">
        <v>2026.0</v>
      </c>
      <c r="C218" s="2">
        <v>2.0</v>
      </c>
      <c r="D218" s="7">
        <v>454226.0</v>
      </c>
      <c r="E218" s="7">
        <v>184.466666666667</v>
      </c>
      <c r="F218" s="2">
        <v>3.0</v>
      </c>
      <c r="G218" s="8"/>
      <c r="H218" s="8"/>
      <c r="I218" s="8"/>
      <c r="J218" s="10">
        <f t="shared" si="1"/>
        <v>246237.4413</v>
      </c>
      <c r="K218" s="10" t="str">
        <f t="shared" si="2"/>
        <v/>
      </c>
    </row>
    <row r="219" ht="15.75" customHeight="1">
      <c r="A219" s="2" t="s">
        <v>55</v>
      </c>
      <c r="B219" s="2">
        <v>2022.0</v>
      </c>
      <c r="C219" s="2">
        <v>4.0</v>
      </c>
      <c r="D219" s="7">
        <v>250340.0</v>
      </c>
      <c r="E219" s="8"/>
      <c r="F219" s="2"/>
      <c r="G219" s="7">
        <v>4.9</v>
      </c>
      <c r="H219" s="9">
        <v>3294392.3</v>
      </c>
      <c r="I219" s="9">
        <v>1162308.0</v>
      </c>
      <c r="J219" s="10" t="str">
        <f t="shared" si="1"/>
        <v/>
      </c>
      <c r="K219" s="10">
        <f t="shared" si="2"/>
        <v>2834353.975</v>
      </c>
    </row>
    <row r="220" ht="15.75" customHeight="1">
      <c r="A220" s="2" t="s">
        <v>55</v>
      </c>
      <c r="B220" s="2">
        <v>2023.0</v>
      </c>
      <c r="C220" s="2">
        <v>1.0</v>
      </c>
      <c r="D220" s="7">
        <v>254202.0</v>
      </c>
      <c r="E220" s="7">
        <v>132.15</v>
      </c>
      <c r="F220" s="2">
        <v>2.0</v>
      </c>
      <c r="G220" s="7">
        <v>4.9</v>
      </c>
      <c r="H220" s="9">
        <v>4079764.7</v>
      </c>
      <c r="I220" s="9">
        <v>1192199.0</v>
      </c>
      <c r="J220" s="10">
        <f t="shared" si="1"/>
        <v>192358.6833</v>
      </c>
      <c r="K220" s="10">
        <f t="shared" si="2"/>
        <v>3422050.094</v>
      </c>
    </row>
    <row r="221" ht="15.75" customHeight="1">
      <c r="A221" s="2" t="s">
        <v>55</v>
      </c>
      <c r="B221" s="2">
        <v>2023.0</v>
      </c>
      <c r="C221" s="2">
        <v>2.0</v>
      </c>
      <c r="D221" s="7">
        <v>290858.0</v>
      </c>
      <c r="E221" s="7">
        <v>134.6</v>
      </c>
      <c r="F221" s="2">
        <v>1.0</v>
      </c>
      <c r="G221" s="7">
        <v>4.9</v>
      </c>
      <c r="H221" s="9">
        <v>4079764.7</v>
      </c>
      <c r="I221" s="9">
        <v>1192199.0</v>
      </c>
      <c r="J221" s="10">
        <f t="shared" si="1"/>
        <v>216090.6389</v>
      </c>
      <c r="K221" s="10">
        <f t="shared" si="2"/>
        <v>3422050.094</v>
      </c>
    </row>
    <row r="222" ht="15.75" customHeight="1">
      <c r="A222" s="2" t="s">
        <v>55</v>
      </c>
      <c r="B222" s="2">
        <v>2023.0</v>
      </c>
      <c r="C222" s="2">
        <v>3.0</v>
      </c>
      <c r="D222" s="7">
        <v>266852.0</v>
      </c>
      <c r="E222" s="7">
        <v>137.3</v>
      </c>
      <c r="F222" s="2">
        <v>1.0</v>
      </c>
      <c r="G222" s="7">
        <v>4.9</v>
      </c>
      <c r="H222" s="9">
        <v>4079764.7</v>
      </c>
      <c r="I222" s="9">
        <v>1192199.0</v>
      </c>
      <c r="J222" s="10">
        <f t="shared" si="1"/>
        <v>194356.8827</v>
      </c>
      <c r="K222" s="10">
        <f t="shared" si="2"/>
        <v>3422050.094</v>
      </c>
    </row>
    <row r="223" ht="15.75" customHeight="1">
      <c r="A223" s="2" t="s">
        <v>55</v>
      </c>
      <c r="B223" s="2">
        <v>2023.0</v>
      </c>
      <c r="C223" s="2">
        <v>4.0</v>
      </c>
      <c r="D223" s="7">
        <v>290658.0</v>
      </c>
      <c r="E223" s="7">
        <v>140.566666666667</v>
      </c>
      <c r="F223" s="2">
        <v>3.0</v>
      </c>
      <c r="G223" s="7">
        <v>4.9</v>
      </c>
      <c r="H223" s="9">
        <v>4079764.7</v>
      </c>
      <c r="I223" s="9">
        <v>1192199.0</v>
      </c>
      <c r="J223" s="10">
        <f t="shared" si="1"/>
        <v>206775.907</v>
      </c>
      <c r="K223" s="10">
        <f t="shared" si="2"/>
        <v>3422050.094</v>
      </c>
    </row>
    <row r="224" ht="15.75" customHeight="1">
      <c r="A224" s="2" t="s">
        <v>55</v>
      </c>
      <c r="B224" s="2">
        <v>2024.0</v>
      </c>
      <c r="C224" s="2">
        <v>1.0</v>
      </c>
      <c r="D224" s="7">
        <v>290848.0</v>
      </c>
      <c r="E224" s="7">
        <v>144.55</v>
      </c>
      <c r="F224" s="2">
        <v>2.0</v>
      </c>
      <c r="G224" s="7">
        <v>4.8</v>
      </c>
      <c r="H224" s="9">
        <v>4738865.2</v>
      </c>
      <c r="I224" s="9">
        <v>1222066.0</v>
      </c>
      <c r="J224" s="10">
        <f t="shared" si="1"/>
        <v>201209.2701</v>
      </c>
      <c r="K224" s="10">
        <f t="shared" si="2"/>
        <v>3877748.992</v>
      </c>
    </row>
    <row r="225" ht="15.75" customHeight="1">
      <c r="A225" s="2" t="s">
        <v>55</v>
      </c>
      <c r="B225" s="2">
        <v>2024.0</v>
      </c>
      <c r="C225" s="2">
        <v>2.0</v>
      </c>
      <c r="D225" s="7">
        <v>314210.0</v>
      </c>
      <c r="E225" s="7">
        <v>146.5</v>
      </c>
      <c r="F225" s="2">
        <v>3.0</v>
      </c>
      <c r="G225" s="7">
        <v>4.8</v>
      </c>
      <c r="H225" s="9">
        <v>4738865.2</v>
      </c>
      <c r="I225" s="9">
        <v>1222066.0</v>
      </c>
      <c r="J225" s="10">
        <f t="shared" si="1"/>
        <v>214477.8157</v>
      </c>
      <c r="K225" s="10">
        <f t="shared" si="2"/>
        <v>3877748.992</v>
      </c>
    </row>
    <row r="226" ht="15.75" customHeight="1">
      <c r="A226" s="2" t="s">
        <v>55</v>
      </c>
      <c r="B226" s="2">
        <v>2024.0</v>
      </c>
      <c r="C226" s="2">
        <v>3.0</v>
      </c>
      <c r="D226" s="7">
        <v>309733.0</v>
      </c>
      <c r="E226" s="7">
        <v>147.666666666667</v>
      </c>
      <c r="F226" s="2">
        <v>3.0</v>
      </c>
      <c r="G226" s="7">
        <v>4.8</v>
      </c>
      <c r="H226" s="9">
        <v>4738865.2</v>
      </c>
      <c r="I226" s="9">
        <v>1222066.0</v>
      </c>
      <c r="J226" s="10">
        <f t="shared" si="1"/>
        <v>209751.4673</v>
      </c>
      <c r="K226" s="10">
        <f t="shared" si="2"/>
        <v>3877748.992</v>
      </c>
    </row>
    <row r="227" ht="15.75" customHeight="1">
      <c r="A227" s="2" t="s">
        <v>55</v>
      </c>
      <c r="B227" s="2">
        <v>2024.0</v>
      </c>
      <c r="C227" s="2">
        <v>4.0</v>
      </c>
      <c r="D227" s="7">
        <v>330193.0</v>
      </c>
      <c r="E227" s="7">
        <v>150.966666666667</v>
      </c>
      <c r="F227" s="2">
        <v>3.0</v>
      </c>
      <c r="G227" s="8"/>
      <c r="H227" s="9">
        <v>4738865.2</v>
      </c>
      <c r="I227" s="9">
        <v>1222066.0</v>
      </c>
      <c r="J227" s="10">
        <f t="shared" si="1"/>
        <v>218719.1433</v>
      </c>
      <c r="K227" s="10">
        <f t="shared" si="2"/>
        <v>3877748.992</v>
      </c>
    </row>
    <row r="228" ht="15.75" customHeight="1">
      <c r="A228" s="2" t="s">
        <v>55</v>
      </c>
      <c r="B228" s="2">
        <v>2025.0</v>
      </c>
      <c r="C228" s="2">
        <v>1.0</v>
      </c>
      <c r="D228" s="7">
        <v>321408.0</v>
      </c>
      <c r="E228" s="7">
        <v>156.1</v>
      </c>
      <c r="F228" s="2">
        <v>3.0</v>
      </c>
      <c r="G228" s="8"/>
      <c r="H228" s="9">
        <v>5897586.2</v>
      </c>
      <c r="I228" s="9">
        <v>1256164.0</v>
      </c>
      <c r="J228" s="10">
        <f t="shared" si="1"/>
        <v>205898.7828</v>
      </c>
      <c r="K228" s="10">
        <f t="shared" si="2"/>
        <v>4694917.383</v>
      </c>
    </row>
    <row r="229" ht="15.75" customHeight="1">
      <c r="A229" s="2" t="s">
        <v>55</v>
      </c>
      <c r="B229" s="2">
        <v>2025.0</v>
      </c>
      <c r="C229" s="2">
        <v>2.0</v>
      </c>
      <c r="D229" s="7">
        <v>345300.0</v>
      </c>
      <c r="E229" s="7">
        <v>161.6</v>
      </c>
      <c r="F229" s="2">
        <v>3.0</v>
      </c>
      <c r="G229" s="8"/>
      <c r="H229" s="9">
        <v>5897586.2</v>
      </c>
      <c r="I229" s="9">
        <v>1256164.0</v>
      </c>
      <c r="J229" s="10">
        <f t="shared" si="1"/>
        <v>213675.7426</v>
      </c>
      <c r="K229" s="10">
        <f t="shared" si="2"/>
        <v>4694917.383</v>
      </c>
    </row>
    <row r="230" ht="15.75" customHeight="1">
      <c r="A230" s="2" t="s">
        <v>55</v>
      </c>
      <c r="B230" s="2">
        <v>2025.0</v>
      </c>
      <c r="C230" s="2">
        <v>3.0</v>
      </c>
      <c r="D230" s="7">
        <v>336678.0</v>
      </c>
      <c r="E230" s="7">
        <v>165.733333333333</v>
      </c>
      <c r="F230" s="2">
        <v>3.0</v>
      </c>
      <c r="G230" s="8"/>
      <c r="H230" s="9">
        <v>5897586.2</v>
      </c>
      <c r="I230" s="9">
        <v>1256164.0</v>
      </c>
      <c r="J230" s="10">
        <f t="shared" si="1"/>
        <v>203144.4087</v>
      </c>
      <c r="K230" s="10">
        <f t="shared" si="2"/>
        <v>4694917.383</v>
      </c>
    </row>
    <row r="231" ht="15.75" customHeight="1">
      <c r="A231" s="2" t="s">
        <v>55</v>
      </c>
      <c r="B231" s="2">
        <v>2025.0</v>
      </c>
      <c r="C231" s="2">
        <v>4.0</v>
      </c>
      <c r="D231" s="7">
        <v>364034.0</v>
      </c>
      <c r="E231" s="7">
        <v>169.566666666667</v>
      </c>
      <c r="F231" s="2">
        <v>3.0</v>
      </c>
      <c r="G231" s="8"/>
      <c r="H231" s="9">
        <v>5897586.2</v>
      </c>
      <c r="I231" s="9">
        <v>1256164.0</v>
      </c>
      <c r="J231" s="10">
        <f t="shared" si="1"/>
        <v>214684.883</v>
      </c>
      <c r="K231" s="10">
        <f t="shared" si="2"/>
        <v>4694917.383</v>
      </c>
    </row>
    <row r="232" ht="15.75" customHeight="1">
      <c r="A232" s="2" t="s">
        <v>55</v>
      </c>
      <c r="B232" s="2">
        <v>2026.0</v>
      </c>
      <c r="C232" s="2">
        <v>1.0</v>
      </c>
      <c r="D232" s="7">
        <v>350374.0</v>
      </c>
      <c r="E232" s="7">
        <v>173.933333333333</v>
      </c>
      <c r="F232" s="2">
        <v>3.0</v>
      </c>
      <c r="G232" s="8"/>
      <c r="H232" s="8"/>
      <c r="I232" s="8"/>
      <c r="J232" s="10">
        <f t="shared" si="1"/>
        <v>201441.5485</v>
      </c>
      <c r="K232" s="10" t="str">
        <f t="shared" si="2"/>
        <v/>
      </c>
    </row>
    <row r="233" ht="15.75" customHeight="1">
      <c r="A233" s="2" t="s">
        <v>55</v>
      </c>
      <c r="B233" s="2">
        <v>2026.0</v>
      </c>
      <c r="C233" s="2">
        <v>2.0</v>
      </c>
      <c r="D233" s="7">
        <v>377710.0</v>
      </c>
      <c r="E233" s="7">
        <v>178.0</v>
      </c>
      <c r="F233" s="2">
        <v>3.0</v>
      </c>
      <c r="G233" s="8"/>
      <c r="H233" s="8"/>
      <c r="I233" s="8"/>
      <c r="J233" s="10">
        <f t="shared" si="1"/>
        <v>212196.6292</v>
      </c>
      <c r="K233" s="10" t="str">
        <f t="shared" si="2"/>
        <v/>
      </c>
    </row>
    <row r="234" ht="15.75" customHeight="1">
      <c r="A234" s="2" t="s">
        <v>56</v>
      </c>
      <c r="B234" s="2">
        <v>2022.0</v>
      </c>
      <c r="C234" s="2">
        <v>4.0</v>
      </c>
      <c r="D234" s="7">
        <v>241151.0</v>
      </c>
      <c r="E234" s="8"/>
      <c r="F234" s="2"/>
      <c r="G234" s="7">
        <v>4.9</v>
      </c>
      <c r="H234" s="9">
        <v>2198854.3</v>
      </c>
      <c r="I234" s="9">
        <v>539111.0</v>
      </c>
      <c r="J234" s="10" t="str">
        <f t="shared" si="1"/>
        <v/>
      </c>
      <c r="K234" s="10">
        <f t="shared" si="2"/>
        <v>4078667.102</v>
      </c>
    </row>
    <row r="235" ht="15.75" customHeight="1">
      <c r="A235" s="2" t="s">
        <v>56</v>
      </c>
      <c r="B235" s="2">
        <v>2023.0</v>
      </c>
      <c r="C235" s="2">
        <v>1.0</v>
      </c>
      <c r="D235" s="7">
        <v>241102.0</v>
      </c>
      <c r="E235" s="7">
        <v>133.35</v>
      </c>
      <c r="F235" s="2">
        <v>2.0</v>
      </c>
      <c r="G235" s="7">
        <v>4.9</v>
      </c>
      <c r="H235" s="9">
        <v>2227596.3</v>
      </c>
      <c r="I235" s="9">
        <v>534104.0</v>
      </c>
      <c r="J235" s="10">
        <f t="shared" si="1"/>
        <v>180803.8995</v>
      </c>
      <c r="K235" s="10">
        <f t="shared" si="2"/>
        <v>4170716.377</v>
      </c>
    </row>
    <row r="236" ht="15.75" customHeight="1">
      <c r="A236" s="2" t="s">
        <v>56</v>
      </c>
      <c r="B236" s="2">
        <v>2023.0</v>
      </c>
      <c r="C236" s="2">
        <v>2.0</v>
      </c>
      <c r="D236" s="7">
        <v>273814.0</v>
      </c>
      <c r="E236" s="7">
        <v>136.4</v>
      </c>
      <c r="F236" s="2">
        <v>1.0</v>
      </c>
      <c r="G236" s="7">
        <v>4.8</v>
      </c>
      <c r="H236" s="9">
        <v>2227596.3</v>
      </c>
      <c r="I236" s="9">
        <v>534104.0</v>
      </c>
      <c r="J236" s="10">
        <f t="shared" si="1"/>
        <v>200743.4018</v>
      </c>
      <c r="K236" s="10">
        <f t="shared" si="2"/>
        <v>4170716.377</v>
      </c>
    </row>
    <row r="237" ht="15.75" customHeight="1">
      <c r="A237" s="2" t="s">
        <v>56</v>
      </c>
      <c r="B237" s="2">
        <v>2023.0</v>
      </c>
      <c r="C237" s="2">
        <v>3.0</v>
      </c>
      <c r="D237" s="7">
        <v>258089.0</v>
      </c>
      <c r="E237" s="7">
        <v>139.9</v>
      </c>
      <c r="F237" s="2">
        <v>1.0</v>
      </c>
      <c r="G237" s="7">
        <v>4.7</v>
      </c>
      <c r="H237" s="9">
        <v>2227596.3</v>
      </c>
      <c r="I237" s="9">
        <v>534104.0</v>
      </c>
      <c r="J237" s="10">
        <f t="shared" si="1"/>
        <v>184481.0579</v>
      </c>
      <c r="K237" s="10">
        <f t="shared" si="2"/>
        <v>4170716.377</v>
      </c>
    </row>
    <row r="238" ht="15.75" customHeight="1">
      <c r="A238" s="2" t="s">
        <v>56</v>
      </c>
      <c r="B238" s="2">
        <v>2023.0</v>
      </c>
      <c r="C238" s="2">
        <v>4.0</v>
      </c>
      <c r="D238" s="7">
        <v>279596.0</v>
      </c>
      <c r="E238" s="7">
        <v>143.166666666667</v>
      </c>
      <c r="F238" s="2">
        <v>3.0</v>
      </c>
      <c r="G238" s="7">
        <v>4.6</v>
      </c>
      <c r="H238" s="9">
        <v>2227596.3</v>
      </c>
      <c r="I238" s="9">
        <v>534104.0</v>
      </c>
      <c r="J238" s="10">
        <f t="shared" si="1"/>
        <v>195294.0629</v>
      </c>
      <c r="K238" s="10">
        <f t="shared" si="2"/>
        <v>4170716.377</v>
      </c>
    </row>
    <row r="239" ht="15.75" customHeight="1">
      <c r="A239" s="2" t="s">
        <v>56</v>
      </c>
      <c r="B239" s="2">
        <v>2024.0</v>
      </c>
      <c r="C239" s="2">
        <v>1.0</v>
      </c>
      <c r="D239" s="7">
        <v>270252.0</v>
      </c>
      <c r="E239" s="7">
        <v>146.85</v>
      </c>
      <c r="F239" s="2">
        <v>2.0</v>
      </c>
      <c r="G239" s="7">
        <v>4.7</v>
      </c>
      <c r="H239" s="9">
        <v>2621212.1</v>
      </c>
      <c r="I239" s="9">
        <v>530089.0</v>
      </c>
      <c r="J239" s="10">
        <f t="shared" si="1"/>
        <v>184032.6864</v>
      </c>
      <c r="K239" s="10">
        <f t="shared" si="2"/>
        <v>4944852.845</v>
      </c>
    </row>
    <row r="240" ht="15.75" customHeight="1">
      <c r="A240" s="2" t="s">
        <v>56</v>
      </c>
      <c r="B240" s="2">
        <v>2024.0</v>
      </c>
      <c r="C240" s="2">
        <v>2.0</v>
      </c>
      <c r="D240" s="7">
        <v>297303.0</v>
      </c>
      <c r="E240" s="7">
        <v>150.133333333333</v>
      </c>
      <c r="F240" s="2">
        <v>3.0</v>
      </c>
      <c r="G240" s="7">
        <v>4.6</v>
      </c>
      <c r="H240" s="9">
        <v>2621212.1</v>
      </c>
      <c r="I240" s="9">
        <v>530089.0</v>
      </c>
      <c r="J240" s="10">
        <f t="shared" si="1"/>
        <v>198025.9769</v>
      </c>
      <c r="K240" s="10">
        <f t="shared" si="2"/>
        <v>4944852.845</v>
      </c>
    </row>
    <row r="241" ht="15.75" customHeight="1">
      <c r="A241" s="2" t="s">
        <v>56</v>
      </c>
      <c r="B241" s="2">
        <v>2024.0</v>
      </c>
      <c r="C241" s="2">
        <v>3.0</v>
      </c>
      <c r="D241" s="7">
        <v>286956.0</v>
      </c>
      <c r="E241" s="7">
        <v>152.6</v>
      </c>
      <c r="F241" s="2">
        <v>3.0</v>
      </c>
      <c r="G241" s="7">
        <v>4.5</v>
      </c>
      <c r="H241" s="9">
        <v>2621212.1</v>
      </c>
      <c r="I241" s="9">
        <v>530089.0</v>
      </c>
      <c r="J241" s="10">
        <f t="shared" si="1"/>
        <v>188044.5609</v>
      </c>
      <c r="K241" s="10">
        <f t="shared" si="2"/>
        <v>4944852.845</v>
      </c>
    </row>
    <row r="242" ht="15.75" customHeight="1">
      <c r="A242" s="2" t="s">
        <v>56</v>
      </c>
      <c r="B242" s="2">
        <v>2024.0</v>
      </c>
      <c r="C242" s="2">
        <v>4.0</v>
      </c>
      <c r="D242" s="7">
        <v>315540.0</v>
      </c>
      <c r="E242" s="7">
        <v>156.366666666667</v>
      </c>
      <c r="F242" s="2">
        <v>3.0</v>
      </c>
      <c r="G242" s="8"/>
      <c r="H242" s="9">
        <v>2621212.1</v>
      </c>
      <c r="I242" s="9">
        <v>530089.0</v>
      </c>
      <c r="J242" s="10">
        <f t="shared" si="1"/>
        <v>201794.9265</v>
      </c>
      <c r="K242" s="10">
        <f t="shared" si="2"/>
        <v>4944852.845</v>
      </c>
    </row>
    <row r="243" ht="15.75" customHeight="1">
      <c r="A243" s="2" t="s">
        <v>56</v>
      </c>
      <c r="B243" s="2">
        <v>2025.0</v>
      </c>
      <c r="C243" s="2">
        <v>1.0</v>
      </c>
      <c r="D243" s="7">
        <v>300051.0</v>
      </c>
      <c r="E243" s="7">
        <v>161.366666666667</v>
      </c>
      <c r="F243" s="2">
        <v>3.0</v>
      </c>
      <c r="G243" s="8"/>
      <c r="H243" s="9">
        <v>3430760.0</v>
      </c>
      <c r="I243" s="9">
        <v>522171.0</v>
      </c>
      <c r="J243" s="10">
        <f t="shared" si="1"/>
        <v>185943.6067</v>
      </c>
      <c r="K243" s="10">
        <f t="shared" si="2"/>
        <v>6570184.863</v>
      </c>
    </row>
    <row r="244" ht="15.75" customHeight="1">
      <c r="A244" s="2" t="s">
        <v>56</v>
      </c>
      <c r="B244" s="2">
        <v>2025.0</v>
      </c>
      <c r="C244" s="2">
        <v>2.0</v>
      </c>
      <c r="D244" s="7">
        <v>331648.0</v>
      </c>
      <c r="E244" s="7">
        <v>166.833333333333</v>
      </c>
      <c r="F244" s="2">
        <v>3.0</v>
      </c>
      <c r="G244" s="8"/>
      <c r="H244" s="9">
        <v>3430760.0</v>
      </c>
      <c r="I244" s="9">
        <v>522171.0</v>
      </c>
      <c r="J244" s="10">
        <f t="shared" si="1"/>
        <v>198790.01</v>
      </c>
      <c r="K244" s="10">
        <f t="shared" si="2"/>
        <v>6570184.863</v>
      </c>
    </row>
    <row r="245" ht="15.75" customHeight="1">
      <c r="A245" s="2" t="s">
        <v>56</v>
      </c>
      <c r="B245" s="2">
        <v>2025.0</v>
      </c>
      <c r="C245" s="2">
        <v>3.0</v>
      </c>
      <c r="D245" s="7">
        <v>317302.0</v>
      </c>
      <c r="E245" s="7">
        <v>172.033333333333</v>
      </c>
      <c r="F245" s="2">
        <v>3.0</v>
      </c>
      <c r="G245" s="8"/>
      <c r="H245" s="9">
        <v>3430760.0</v>
      </c>
      <c r="I245" s="9">
        <v>522171.0</v>
      </c>
      <c r="J245" s="10">
        <f t="shared" si="1"/>
        <v>184442.1624</v>
      </c>
      <c r="K245" s="10">
        <f t="shared" si="2"/>
        <v>6570184.863</v>
      </c>
    </row>
    <row r="246" ht="15.75" customHeight="1">
      <c r="A246" s="2" t="s">
        <v>56</v>
      </c>
      <c r="B246" s="2">
        <v>2025.0</v>
      </c>
      <c r="C246" s="2">
        <v>4.0</v>
      </c>
      <c r="D246" s="7">
        <v>356848.0</v>
      </c>
      <c r="E246" s="7">
        <v>177.766666666667</v>
      </c>
      <c r="F246" s="2">
        <v>3.0</v>
      </c>
      <c r="G246" s="8"/>
      <c r="H246" s="9">
        <v>3430760.0</v>
      </c>
      <c r="I246" s="9">
        <v>522171.0</v>
      </c>
      <c r="J246" s="10">
        <f t="shared" si="1"/>
        <v>200739.5462</v>
      </c>
      <c r="K246" s="10">
        <f t="shared" si="2"/>
        <v>6570184.863</v>
      </c>
    </row>
    <row r="247" ht="15.75" customHeight="1">
      <c r="A247" s="2" t="s">
        <v>56</v>
      </c>
      <c r="B247" s="2">
        <v>2026.0</v>
      </c>
      <c r="C247" s="2">
        <v>1.0</v>
      </c>
      <c r="D247" s="7">
        <v>326664.0</v>
      </c>
      <c r="E247" s="7">
        <v>183.866666666667</v>
      </c>
      <c r="F247" s="2">
        <v>3.0</v>
      </c>
      <c r="G247" s="8"/>
      <c r="H247" s="8"/>
      <c r="I247" s="8"/>
      <c r="J247" s="10">
        <f t="shared" si="1"/>
        <v>177663.5243</v>
      </c>
      <c r="K247" s="10" t="str">
        <f t="shared" si="2"/>
        <v/>
      </c>
    </row>
    <row r="248" ht="15.75" customHeight="1">
      <c r="A248" s="2" t="s">
        <v>56</v>
      </c>
      <c r="B248" s="2">
        <v>2026.0</v>
      </c>
      <c r="C248" s="2">
        <v>2.0</v>
      </c>
      <c r="D248" s="7">
        <v>363123.0</v>
      </c>
      <c r="E248" s="7">
        <v>189.033333333333</v>
      </c>
      <c r="F248" s="2">
        <v>3.0</v>
      </c>
      <c r="G248" s="8"/>
      <c r="H248" s="8"/>
      <c r="I248" s="8"/>
      <c r="J248" s="10">
        <f t="shared" si="1"/>
        <v>192094.6923</v>
      </c>
      <c r="K248" s="10" t="str">
        <f t="shared" si="2"/>
        <v/>
      </c>
    </row>
    <row r="249" ht="15.75" customHeight="1">
      <c r="A249" s="2" t="s">
        <v>57</v>
      </c>
      <c r="B249" s="2">
        <v>2022.0</v>
      </c>
      <c r="C249" s="2">
        <v>4.0</v>
      </c>
      <c r="D249" s="7">
        <v>240720.0</v>
      </c>
      <c r="E249" s="8"/>
      <c r="F249" s="2"/>
      <c r="G249" s="7">
        <v>5.2</v>
      </c>
      <c r="H249" s="9">
        <v>3517281.1</v>
      </c>
      <c r="I249" s="9">
        <v>2088510.0</v>
      </c>
      <c r="J249" s="10" t="str">
        <f t="shared" si="1"/>
        <v/>
      </c>
      <c r="K249" s="10">
        <f t="shared" si="2"/>
        <v>1684110.251</v>
      </c>
    </row>
    <row r="250" ht="15.75" customHeight="1">
      <c r="A250" s="2" t="s">
        <v>57</v>
      </c>
      <c r="B250" s="2">
        <v>2023.0</v>
      </c>
      <c r="C250" s="2">
        <v>1.0</v>
      </c>
      <c r="D250" s="7">
        <v>257874.0</v>
      </c>
      <c r="E250" s="7">
        <v>133.05</v>
      </c>
      <c r="F250" s="2">
        <v>2.0</v>
      </c>
      <c r="G250" s="7">
        <v>5.0</v>
      </c>
      <c r="H250" s="9">
        <v>3831527.6</v>
      </c>
      <c r="I250" s="9">
        <v>2119224.0</v>
      </c>
      <c r="J250" s="10">
        <f t="shared" si="1"/>
        <v>193817.3619</v>
      </c>
      <c r="K250" s="10">
        <f t="shared" si="2"/>
        <v>1807986.131</v>
      </c>
    </row>
    <row r="251" ht="15.75" customHeight="1">
      <c r="A251" s="2" t="s">
        <v>57</v>
      </c>
      <c r="B251" s="2">
        <v>2023.0</v>
      </c>
      <c r="C251" s="2">
        <v>2.0</v>
      </c>
      <c r="D251" s="7">
        <v>299042.0</v>
      </c>
      <c r="E251" s="7">
        <v>137.1</v>
      </c>
      <c r="F251" s="2">
        <v>1.0</v>
      </c>
      <c r="G251" s="7">
        <v>5.0</v>
      </c>
      <c r="H251" s="9">
        <v>3831527.6</v>
      </c>
      <c r="I251" s="9">
        <v>2119224.0</v>
      </c>
      <c r="J251" s="10">
        <f t="shared" si="1"/>
        <v>218119.6207</v>
      </c>
      <c r="K251" s="10">
        <f t="shared" si="2"/>
        <v>1807986.131</v>
      </c>
    </row>
    <row r="252" ht="15.75" customHeight="1">
      <c r="A252" s="2" t="s">
        <v>57</v>
      </c>
      <c r="B252" s="2">
        <v>2023.0</v>
      </c>
      <c r="C252" s="2">
        <v>3.0</v>
      </c>
      <c r="D252" s="7">
        <v>248905.0</v>
      </c>
      <c r="E252" s="7">
        <v>139.4</v>
      </c>
      <c r="F252" s="2">
        <v>1.0</v>
      </c>
      <c r="G252" s="7">
        <v>5.0</v>
      </c>
      <c r="H252" s="9">
        <v>3831527.6</v>
      </c>
      <c r="I252" s="9">
        <v>2119224.0</v>
      </c>
      <c r="J252" s="10">
        <f t="shared" si="1"/>
        <v>178554.5194</v>
      </c>
      <c r="K252" s="10">
        <f t="shared" si="2"/>
        <v>1807986.131</v>
      </c>
    </row>
    <row r="253" ht="15.75" customHeight="1">
      <c r="A253" s="2" t="s">
        <v>57</v>
      </c>
      <c r="B253" s="2">
        <v>2023.0</v>
      </c>
      <c r="C253" s="2">
        <v>4.0</v>
      </c>
      <c r="D253" s="7">
        <v>278894.0</v>
      </c>
      <c r="E253" s="7">
        <v>142.466666666667</v>
      </c>
      <c r="F253" s="2">
        <v>3.0</v>
      </c>
      <c r="G253" s="7">
        <v>5.0</v>
      </c>
      <c r="H253" s="9">
        <v>3831527.6</v>
      </c>
      <c r="I253" s="9">
        <v>2119224.0</v>
      </c>
      <c r="J253" s="10">
        <f t="shared" si="1"/>
        <v>195760.8797</v>
      </c>
      <c r="K253" s="10">
        <f t="shared" si="2"/>
        <v>1807986.131</v>
      </c>
    </row>
    <row r="254" ht="15.75" customHeight="1">
      <c r="A254" s="2" t="s">
        <v>57</v>
      </c>
      <c r="B254" s="2">
        <v>2024.0</v>
      </c>
      <c r="C254" s="2">
        <v>1.0</v>
      </c>
      <c r="D254" s="7">
        <v>284373.0</v>
      </c>
      <c r="E254" s="7">
        <v>145.6</v>
      </c>
      <c r="F254" s="2">
        <v>2.0</v>
      </c>
      <c r="G254" s="7">
        <v>4.9</v>
      </c>
      <c r="H254" s="9">
        <v>4673463.8</v>
      </c>
      <c r="I254" s="9">
        <v>2142171.0</v>
      </c>
      <c r="J254" s="10">
        <f t="shared" si="1"/>
        <v>195311.1264</v>
      </c>
      <c r="K254" s="10">
        <f t="shared" si="2"/>
        <v>2181648.337</v>
      </c>
    </row>
    <row r="255" ht="15.75" customHeight="1">
      <c r="A255" s="2" t="s">
        <v>57</v>
      </c>
      <c r="B255" s="2">
        <v>2024.0</v>
      </c>
      <c r="C255" s="2">
        <v>2.0</v>
      </c>
      <c r="D255" s="7">
        <v>324470.0</v>
      </c>
      <c r="E255" s="7">
        <v>147.066666666667</v>
      </c>
      <c r="F255" s="2">
        <v>3.0</v>
      </c>
      <c r="G255" s="7">
        <v>4.8</v>
      </c>
      <c r="H255" s="9">
        <v>4673463.8</v>
      </c>
      <c r="I255" s="9">
        <v>2142171.0</v>
      </c>
      <c r="J255" s="10">
        <f t="shared" si="1"/>
        <v>220627.8332</v>
      </c>
      <c r="K255" s="10">
        <f t="shared" si="2"/>
        <v>2181648.337</v>
      </c>
    </row>
    <row r="256" ht="15.75" customHeight="1">
      <c r="A256" s="2" t="s">
        <v>57</v>
      </c>
      <c r="B256" s="2">
        <v>2024.0</v>
      </c>
      <c r="C256" s="2">
        <v>3.0</v>
      </c>
      <c r="D256" s="7">
        <v>266590.0</v>
      </c>
      <c r="E256" s="7">
        <v>149.7</v>
      </c>
      <c r="F256" s="2">
        <v>3.0</v>
      </c>
      <c r="G256" s="7">
        <v>4.8</v>
      </c>
      <c r="H256" s="9">
        <v>4673463.8</v>
      </c>
      <c r="I256" s="9">
        <v>2142171.0</v>
      </c>
      <c r="J256" s="10">
        <f t="shared" si="1"/>
        <v>178082.8323</v>
      </c>
      <c r="K256" s="10">
        <f t="shared" si="2"/>
        <v>2181648.337</v>
      </c>
    </row>
    <row r="257" ht="15.75" customHeight="1">
      <c r="A257" s="2" t="s">
        <v>57</v>
      </c>
      <c r="B257" s="2">
        <v>2024.0</v>
      </c>
      <c r="C257" s="2">
        <v>4.0</v>
      </c>
      <c r="D257" s="7">
        <v>304325.0</v>
      </c>
      <c r="E257" s="7">
        <v>153.266666666667</v>
      </c>
      <c r="F257" s="2">
        <v>3.0</v>
      </c>
      <c r="G257" s="8"/>
      <c r="H257" s="9">
        <v>4673463.8</v>
      </c>
      <c r="I257" s="9">
        <v>2142171.0</v>
      </c>
      <c r="J257" s="10">
        <f t="shared" si="1"/>
        <v>198559.1562</v>
      </c>
      <c r="K257" s="10">
        <f t="shared" si="2"/>
        <v>2181648.337</v>
      </c>
    </row>
    <row r="258" ht="15.75" customHeight="1">
      <c r="A258" s="2" t="s">
        <v>57</v>
      </c>
      <c r="B258" s="2">
        <v>2025.0</v>
      </c>
      <c r="C258" s="2">
        <v>1.0</v>
      </c>
      <c r="D258" s="7">
        <v>310515.0</v>
      </c>
      <c r="E258" s="7">
        <v>157.766666666667</v>
      </c>
      <c r="F258" s="2">
        <v>3.0</v>
      </c>
      <c r="G258" s="8"/>
      <c r="H258" s="9">
        <v>5396307.1</v>
      </c>
      <c r="I258" s="9">
        <v>2154041.0</v>
      </c>
      <c r="J258" s="10">
        <f t="shared" si="1"/>
        <v>196819.1422</v>
      </c>
      <c r="K258" s="10">
        <f t="shared" si="2"/>
        <v>2505201.665</v>
      </c>
    </row>
    <row r="259" ht="15.75" customHeight="1">
      <c r="A259" s="2" t="s">
        <v>57</v>
      </c>
      <c r="B259" s="2">
        <v>2025.0</v>
      </c>
      <c r="C259" s="2">
        <v>2.0</v>
      </c>
      <c r="D259" s="7">
        <v>351774.0</v>
      </c>
      <c r="E259" s="7">
        <v>163.366666666667</v>
      </c>
      <c r="F259" s="2">
        <v>3.0</v>
      </c>
      <c r="G259" s="8"/>
      <c r="H259" s="9">
        <v>5396307.1</v>
      </c>
      <c r="I259" s="9">
        <v>2154041.0</v>
      </c>
      <c r="J259" s="10">
        <f t="shared" si="1"/>
        <v>215327.8923</v>
      </c>
      <c r="K259" s="10">
        <f t="shared" si="2"/>
        <v>2505201.665</v>
      </c>
    </row>
    <row r="260" ht="15.75" customHeight="1">
      <c r="A260" s="2" t="s">
        <v>57</v>
      </c>
      <c r="B260" s="2">
        <v>2025.0</v>
      </c>
      <c r="C260" s="2">
        <v>3.0</v>
      </c>
      <c r="D260" s="7">
        <v>288690.0</v>
      </c>
      <c r="E260" s="7">
        <v>167.233333333333</v>
      </c>
      <c r="F260" s="2">
        <v>3.0</v>
      </c>
      <c r="G260" s="8"/>
      <c r="H260" s="9">
        <v>5396307.1</v>
      </c>
      <c r="I260" s="9">
        <v>2154041.0</v>
      </c>
      <c r="J260" s="10">
        <f t="shared" si="1"/>
        <v>172627.068</v>
      </c>
      <c r="K260" s="10">
        <f t="shared" si="2"/>
        <v>2505201.665</v>
      </c>
    </row>
    <row r="261" ht="15.75" customHeight="1">
      <c r="A261" s="2" t="s">
        <v>57</v>
      </c>
      <c r="B261" s="2">
        <v>2025.0</v>
      </c>
      <c r="C261" s="2">
        <v>4.0</v>
      </c>
      <c r="D261" s="7">
        <v>324229.0</v>
      </c>
      <c r="E261" s="7">
        <v>172.2</v>
      </c>
      <c r="F261" s="2">
        <v>3.0</v>
      </c>
      <c r="G261" s="8"/>
      <c r="H261" s="9">
        <v>5396307.1</v>
      </c>
      <c r="I261" s="9">
        <v>2154041.0</v>
      </c>
      <c r="J261" s="10">
        <f t="shared" si="1"/>
        <v>188286.295</v>
      </c>
      <c r="K261" s="10">
        <f t="shared" si="2"/>
        <v>2505201.665</v>
      </c>
    </row>
    <row r="262" ht="15.75" customHeight="1">
      <c r="A262" s="2" t="s">
        <v>57</v>
      </c>
      <c r="B262" s="2">
        <v>2026.0</v>
      </c>
      <c r="C262" s="2">
        <v>1.0</v>
      </c>
      <c r="D262" s="7">
        <v>332640.0</v>
      </c>
      <c r="E262" s="7">
        <v>177.633333333333</v>
      </c>
      <c r="F262" s="2">
        <v>3.0</v>
      </c>
      <c r="G262" s="8"/>
      <c r="H262" s="8"/>
      <c r="I262" s="8"/>
      <c r="J262" s="10">
        <f t="shared" si="1"/>
        <v>187262.1505</v>
      </c>
      <c r="K262" s="10" t="str">
        <f t="shared" si="2"/>
        <v/>
      </c>
    </row>
    <row r="263" ht="15.75" customHeight="1">
      <c r="A263" s="2" t="s">
        <v>57</v>
      </c>
      <c r="B263" s="2">
        <v>2026.0</v>
      </c>
      <c r="C263" s="2">
        <v>2.0</v>
      </c>
      <c r="D263" s="7">
        <v>370964.0</v>
      </c>
      <c r="E263" s="7">
        <v>181.666666666667</v>
      </c>
      <c r="F263" s="2">
        <v>3.0</v>
      </c>
      <c r="G263" s="8"/>
      <c r="H263" s="8"/>
      <c r="I263" s="8"/>
      <c r="J263" s="10">
        <f t="shared" si="1"/>
        <v>204200.367</v>
      </c>
      <c r="K263" s="10" t="str">
        <f t="shared" si="2"/>
        <v/>
      </c>
    </row>
    <row r="264" ht="15.75" customHeight="1">
      <c r="A264" s="2" t="s">
        <v>58</v>
      </c>
      <c r="B264" s="2">
        <v>2022.0</v>
      </c>
      <c r="C264" s="2">
        <v>4.0</v>
      </c>
      <c r="D264" s="7">
        <v>448946.0</v>
      </c>
      <c r="E264" s="8"/>
      <c r="F264" s="2"/>
      <c r="G264" s="7">
        <v>4.2</v>
      </c>
      <c r="H264" s="9">
        <v>1609739.8</v>
      </c>
      <c r="I264" s="9">
        <v>220913.0</v>
      </c>
      <c r="J264" s="10" t="str">
        <f t="shared" si="1"/>
        <v/>
      </c>
      <c r="K264" s="10">
        <f t="shared" si="2"/>
        <v>7286759.041</v>
      </c>
    </row>
    <row r="265" ht="15.75" customHeight="1">
      <c r="A265" s="2" t="s">
        <v>58</v>
      </c>
      <c r="B265" s="2">
        <v>2023.0</v>
      </c>
      <c r="C265" s="2">
        <v>1.0</v>
      </c>
      <c r="D265" s="7">
        <v>450889.0</v>
      </c>
      <c r="E265" s="7">
        <v>133.5</v>
      </c>
      <c r="F265" s="2">
        <v>2.0</v>
      </c>
      <c r="G265" s="7">
        <v>4.2</v>
      </c>
      <c r="H265" s="9">
        <v>1969727.3</v>
      </c>
      <c r="I265" s="9">
        <v>221421.0</v>
      </c>
      <c r="J265" s="10">
        <f t="shared" si="1"/>
        <v>337744.5693</v>
      </c>
      <c r="K265" s="10">
        <f t="shared" si="2"/>
        <v>8895846.826</v>
      </c>
    </row>
    <row r="266" ht="15.75" customHeight="1">
      <c r="A266" s="2" t="s">
        <v>58</v>
      </c>
      <c r="B266" s="2">
        <v>2023.0</v>
      </c>
      <c r="C266" s="2">
        <v>2.0</v>
      </c>
      <c r="D266" s="7">
        <v>474421.0</v>
      </c>
      <c r="E266" s="7">
        <v>137.3</v>
      </c>
      <c r="F266" s="2">
        <v>1.0</v>
      </c>
      <c r="G266" s="7">
        <v>4.2</v>
      </c>
      <c r="H266" s="9">
        <v>1969727.3</v>
      </c>
      <c r="I266" s="9">
        <v>221421.0</v>
      </c>
      <c r="J266" s="10">
        <f t="shared" si="1"/>
        <v>345536.0524</v>
      </c>
      <c r="K266" s="10">
        <f t="shared" si="2"/>
        <v>8895846.826</v>
      </c>
    </row>
    <row r="267" ht="15.75" customHeight="1">
      <c r="A267" s="2" t="s">
        <v>58</v>
      </c>
      <c r="B267" s="2">
        <v>2023.0</v>
      </c>
      <c r="C267" s="2">
        <v>3.0</v>
      </c>
      <c r="D267" s="7">
        <v>471300.0</v>
      </c>
      <c r="E267" s="7">
        <v>141.4</v>
      </c>
      <c r="F267" s="2">
        <v>1.0</v>
      </c>
      <c r="G267" s="7">
        <v>4.2</v>
      </c>
      <c r="H267" s="9">
        <v>1969727.3</v>
      </c>
      <c r="I267" s="9">
        <v>221421.0</v>
      </c>
      <c r="J267" s="10">
        <f t="shared" si="1"/>
        <v>333309.7595</v>
      </c>
      <c r="K267" s="10">
        <f t="shared" si="2"/>
        <v>8895846.826</v>
      </c>
    </row>
    <row r="268" ht="15.75" customHeight="1">
      <c r="A268" s="2" t="s">
        <v>58</v>
      </c>
      <c r="B268" s="2">
        <v>2023.0</v>
      </c>
      <c r="C268" s="2">
        <v>4.0</v>
      </c>
      <c r="D268" s="7">
        <v>554275.0</v>
      </c>
      <c r="E268" s="7">
        <v>144.133333333333</v>
      </c>
      <c r="F268" s="2">
        <v>3.0</v>
      </c>
      <c r="G268" s="7">
        <v>4.2</v>
      </c>
      <c r="H268" s="9">
        <v>1969727.3</v>
      </c>
      <c r="I268" s="9">
        <v>221421.0</v>
      </c>
      <c r="J268" s="10">
        <f t="shared" si="1"/>
        <v>384557.123</v>
      </c>
      <c r="K268" s="10">
        <f t="shared" si="2"/>
        <v>8895846.826</v>
      </c>
    </row>
    <row r="269" ht="15.75" customHeight="1">
      <c r="A269" s="2" t="s">
        <v>58</v>
      </c>
      <c r="B269" s="2">
        <v>2024.0</v>
      </c>
      <c r="C269" s="2">
        <v>1.0</v>
      </c>
      <c r="D269" s="7">
        <v>501624.0</v>
      </c>
      <c r="E269" s="7">
        <v>146.55</v>
      </c>
      <c r="F269" s="2">
        <v>2.0</v>
      </c>
      <c r="G269" s="7">
        <v>4.2</v>
      </c>
      <c r="H269" s="9">
        <v>2487597.6</v>
      </c>
      <c r="I269" s="9">
        <v>221584.0</v>
      </c>
      <c r="J269" s="10">
        <f t="shared" si="1"/>
        <v>342288.6387</v>
      </c>
      <c r="K269" s="10">
        <f t="shared" si="2"/>
        <v>11226431.51</v>
      </c>
    </row>
    <row r="270" ht="15.75" customHeight="1">
      <c r="A270" s="2" t="s">
        <v>58</v>
      </c>
      <c r="B270" s="2">
        <v>2024.0</v>
      </c>
      <c r="C270" s="2">
        <v>2.0</v>
      </c>
      <c r="D270" s="7">
        <v>522988.0</v>
      </c>
      <c r="E270" s="7">
        <v>148.866666666667</v>
      </c>
      <c r="F270" s="2">
        <v>3.0</v>
      </c>
      <c r="G270" s="7">
        <v>4.2</v>
      </c>
      <c r="H270" s="9">
        <v>2487597.6</v>
      </c>
      <c r="I270" s="9">
        <v>221584.0</v>
      </c>
      <c r="J270" s="10">
        <f t="shared" si="1"/>
        <v>351313.0318</v>
      </c>
      <c r="K270" s="10">
        <f t="shared" si="2"/>
        <v>11226431.51</v>
      </c>
    </row>
    <row r="271" ht="15.75" customHeight="1">
      <c r="A271" s="2" t="s">
        <v>58</v>
      </c>
      <c r="B271" s="2">
        <v>2024.0</v>
      </c>
      <c r="C271" s="2">
        <v>3.0</v>
      </c>
      <c r="D271" s="7">
        <v>515543.0</v>
      </c>
      <c r="E271" s="7">
        <v>150.8</v>
      </c>
      <c r="F271" s="2">
        <v>3.0</v>
      </c>
      <c r="G271" s="7">
        <v>4.1</v>
      </c>
      <c r="H271" s="9">
        <v>2487597.6</v>
      </c>
      <c r="I271" s="9">
        <v>221584.0</v>
      </c>
      <c r="J271" s="10">
        <f t="shared" si="1"/>
        <v>341872.0159</v>
      </c>
      <c r="K271" s="10">
        <f t="shared" si="2"/>
        <v>11226431.51</v>
      </c>
    </row>
    <row r="272" ht="15.75" customHeight="1">
      <c r="A272" s="2" t="s">
        <v>58</v>
      </c>
      <c r="B272" s="2">
        <v>2024.0</v>
      </c>
      <c r="C272" s="2">
        <v>4.0</v>
      </c>
      <c r="D272" s="7">
        <v>600682.0</v>
      </c>
      <c r="E272" s="7">
        <v>154.466666666667</v>
      </c>
      <c r="F272" s="2">
        <v>3.0</v>
      </c>
      <c r="G272" s="8"/>
      <c r="H272" s="9">
        <v>2487597.6</v>
      </c>
      <c r="I272" s="9">
        <v>221584.0</v>
      </c>
      <c r="J272" s="10">
        <f t="shared" si="1"/>
        <v>388874.8382</v>
      </c>
      <c r="K272" s="10">
        <f t="shared" si="2"/>
        <v>11226431.51</v>
      </c>
    </row>
    <row r="273" ht="15.75" customHeight="1">
      <c r="A273" s="2" t="s">
        <v>58</v>
      </c>
      <c r="B273" s="2">
        <v>2025.0</v>
      </c>
      <c r="C273" s="2">
        <v>1.0</v>
      </c>
      <c r="D273" s="7">
        <v>599046.0</v>
      </c>
      <c r="E273" s="7">
        <v>160.366666666667</v>
      </c>
      <c r="F273" s="2">
        <v>3.0</v>
      </c>
      <c r="G273" s="8"/>
      <c r="H273" s="9">
        <v>3045355.8</v>
      </c>
      <c r="I273" s="9">
        <v>221290.0</v>
      </c>
      <c r="J273" s="10">
        <f t="shared" si="1"/>
        <v>373547.7032</v>
      </c>
      <c r="K273" s="10">
        <f t="shared" si="2"/>
        <v>13761831.99</v>
      </c>
    </row>
    <row r="274" ht="15.75" customHeight="1">
      <c r="A274" s="2" t="s">
        <v>58</v>
      </c>
      <c r="B274" s="2">
        <v>2025.0</v>
      </c>
      <c r="C274" s="2">
        <v>2.0</v>
      </c>
      <c r="D274" s="7">
        <v>557704.0</v>
      </c>
      <c r="E274" s="7">
        <v>165.333333333333</v>
      </c>
      <c r="F274" s="2">
        <v>3.0</v>
      </c>
      <c r="G274" s="8"/>
      <c r="H274" s="9">
        <v>3045355.8</v>
      </c>
      <c r="I274" s="9">
        <v>221290.0</v>
      </c>
      <c r="J274" s="10">
        <f t="shared" si="1"/>
        <v>337320.9677</v>
      </c>
      <c r="K274" s="10">
        <f t="shared" si="2"/>
        <v>13761831.99</v>
      </c>
    </row>
    <row r="275" ht="15.75" customHeight="1">
      <c r="A275" s="2" t="s">
        <v>58</v>
      </c>
      <c r="B275" s="2">
        <v>2025.0</v>
      </c>
      <c r="C275" s="2">
        <v>3.0</v>
      </c>
      <c r="D275" s="7">
        <v>554277.0</v>
      </c>
      <c r="E275" s="7">
        <v>170.766666666667</v>
      </c>
      <c r="F275" s="2">
        <v>3.0</v>
      </c>
      <c r="G275" s="8"/>
      <c r="H275" s="9">
        <v>3045355.8</v>
      </c>
      <c r="I275" s="9">
        <v>221290.0</v>
      </c>
      <c r="J275" s="10">
        <f t="shared" si="1"/>
        <v>324581.4952</v>
      </c>
      <c r="K275" s="10">
        <f t="shared" si="2"/>
        <v>13761831.99</v>
      </c>
    </row>
    <row r="276" ht="15.75" customHeight="1">
      <c r="A276" s="2" t="s">
        <v>58</v>
      </c>
      <c r="B276" s="2">
        <v>2025.0</v>
      </c>
      <c r="C276" s="2">
        <v>4.0</v>
      </c>
      <c r="D276" s="7">
        <v>648620.0</v>
      </c>
      <c r="E276" s="7">
        <v>175.966666666667</v>
      </c>
      <c r="F276" s="2">
        <v>3.0</v>
      </c>
      <c r="G276" s="8"/>
      <c r="H276" s="9">
        <v>3045355.8</v>
      </c>
      <c r="I276" s="9">
        <v>221290.0</v>
      </c>
      <c r="J276" s="10">
        <f t="shared" si="1"/>
        <v>368603.9023</v>
      </c>
      <c r="K276" s="10">
        <f t="shared" si="2"/>
        <v>13761831.99</v>
      </c>
    </row>
    <row r="277" ht="15.75" customHeight="1">
      <c r="A277" s="2" t="s">
        <v>58</v>
      </c>
      <c r="B277" s="2">
        <v>2026.0</v>
      </c>
      <c r="C277" s="2">
        <v>1.0</v>
      </c>
      <c r="D277" s="7">
        <v>655995.0</v>
      </c>
      <c r="E277" s="7">
        <v>181.666666666667</v>
      </c>
      <c r="F277" s="2">
        <v>3.0</v>
      </c>
      <c r="G277" s="8"/>
      <c r="H277" s="8"/>
      <c r="I277" s="8"/>
      <c r="J277" s="10">
        <f t="shared" si="1"/>
        <v>361098.1651</v>
      </c>
      <c r="K277" s="10" t="str">
        <f t="shared" si="2"/>
        <v/>
      </c>
    </row>
    <row r="278" ht="15.75" customHeight="1">
      <c r="A278" s="2" t="s">
        <v>58</v>
      </c>
      <c r="B278" s="2">
        <v>2026.0</v>
      </c>
      <c r="C278" s="2">
        <v>2.0</v>
      </c>
      <c r="D278" s="7">
        <v>588691.0</v>
      </c>
      <c r="E278" s="7">
        <v>187.066666666667</v>
      </c>
      <c r="F278" s="2">
        <v>3.0</v>
      </c>
      <c r="G278" s="8"/>
      <c r="H278" s="8"/>
      <c r="I278" s="8"/>
      <c r="J278" s="10">
        <f t="shared" si="1"/>
        <v>314695.8304</v>
      </c>
      <c r="K278" s="10" t="str">
        <f t="shared" si="2"/>
        <v/>
      </c>
    </row>
    <row r="279" ht="15.75" customHeight="1">
      <c r="A279" s="2" t="s">
        <v>59</v>
      </c>
      <c r="B279" s="2">
        <v>2022.0</v>
      </c>
      <c r="C279" s="2">
        <v>4.0</v>
      </c>
      <c r="D279" s="7">
        <v>243477.0</v>
      </c>
      <c r="E279" s="8"/>
      <c r="F279" s="2"/>
      <c r="G279" s="7">
        <v>4.9</v>
      </c>
      <c r="H279" s="9">
        <v>2685459.6</v>
      </c>
      <c r="I279" s="9">
        <v>1209665.0</v>
      </c>
      <c r="J279" s="10" t="str">
        <f t="shared" si="1"/>
        <v/>
      </c>
      <c r="K279" s="10">
        <f t="shared" si="2"/>
        <v>2220002.728</v>
      </c>
    </row>
    <row r="280" ht="15.75" customHeight="1">
      <c r="A280" s="2" t="s">
        <v>59</v>
      </c>
      <c r="B280" s="2">
        <v>2023.0</v>
      </c>
      <c r="C280" s="2">
        <v>1.0</v>
      </c>
      <c r="D280" s="7">
        <v>254646.0</v>
      </c>
      <c r="E280" s="7">
        <v>131.45</v>
      </c>
      <c r="F280" s="2">
        <v>2.0</v>
      </c>
      <c r="G280" s="7">
        <v>4.9</v>
      </c>
      <c r="H280" s="9">
        <v>2926010.6</v>
      </c>
      <c r="I280" s="9">
        <v>1218158.0</v>
      </c>
      <c r="J280" s="10">
        <f t="shared" si="1"/>
        <v>193720.8064</v>
      </c>
      <c r="K280" s="10">
        <f t="shared" si="2"/>
        <v>2401995.964</v>
      </c>
    </row>
    <row r="281" ht="15.75" customHeight="1">
      <c r="A281" s="2" t="s">
        <v>59</v>
      </c>
      <c r="B281" s="2">
        <v>2023.0</v>
      </c>
      <c r="C281" s="2">
        <v>2.0</v>
      </c>
      <c r="D281" s="7">
        <v>291861.0</v>
      </c>
      <c r="E281" s="7">
        <v>134.5</v>
      </c>
      <c r="F281" s="2">
        <v>1.0</v>
      </c>
      <c r="G281" s="7">
        <v>4.8</v>
      </c>
      <c r="H281" s="9">
        <v>2926010.6</v>
      </c>
      <c r="I281" s="9">
        <v>1218158.0</v>
      </c>
      <c r="J281" s="10">
        <f t="shared" si="1"/>
        <v>216997.026</v>
      </c>
      <c r="K281" s="10">
        <f t="shared" si="2"/>
        <v>2401995.964</v>
      </c>
    </row>
    <row r="282" ht="15.75" customHeight="1">
      <c r="A282" s="2" t="s">
        <v>59</v>
      </c>
      <c r="B282" s="2">
        <v>2023.0</v>
      </c>
      <c r="C282" s="2">
        <v>3.0</v>
      </c>
      <c r="D282" s="7">
        <v>257688.0</v>
      </c>
      <c r="E282" s="7">
        <v>137.7</v>
      </c>
      <c r="F282" s="2">
        <v>1.0</v>
      </c>
      <c r="G282" s="7">
        <v>4.8</v>
      </c>
      <c r="H282" s="9">
        <v>2926010.6</v>
      </c>
      <c r="I282" s="9">
        <v>1218158.0</v>
      </c>
      <c r="J282" s="10">
        <f t="shared" si="1"/>
        <v>187137.2549</v>
      </c>
      <c r="K282" s="10">
        <f t="shared" si="2"/>
        <v>2401995.964</v>
      </c>
    </row>
    <row r="283" ht="15.75" customHeight="1">
      <c r="A283" s="2" t="s">
        <v>59</v>
      </c>
      <c r="B283" s="2">
        <v>2023.0</v>
      </c>
      <c r="C283" s="2">
        <v>4.0</v>
      </c>
      <c r="D283" s="7">
        <v>287585.0</v>
      </c>
      <c r="E283" s="7">
        <v>140.4</v>
      </c>
      <c r="F283" s="2">
        <v>3.0</v>
      </c>
      <c r="G283" s="7">
        <v>4.8</v>
      </c>
      <c r="H283" s="9">
        <v>2926010.6</v>
      </c>
      <c r="I283" s="9">
        <v>1218158.0</v>
      </c>
      <c r="J283" s="10">
        <f t="shared" si="1"/>
        <v>204832.6211</v>
      </c>
      <c r="K283" s="10">
        <f t="shared" si="2"/>
        <v>2401995.964</v>
      </c>
    </row>
    <row r="284" ht="15.75" customHeight="1">
      <c r="A284" s="2" t="s">
        <v>59</v>
      </c>
      <c r="B284" s="2">
        <v>2024.0</v>
      </c>
      <c r="C284" s="2">
        <v>1.0</v>
      </c>
      <c r="D284" s="7">
        <v>282100.0</v>
      </c>
      <c r="E284" s="7">
        <v>143.75</v>
      </c>
      <c r="F284" s="2">
        <v>2.0</v>
      </c>
      <c r="G284" s="7">
        <v>4.8</v>
      </c>
      <c r="H284" s="9">
        <v>3150409.7</v>
      </c>
      <c r="I284" s="9">
        <v>1222593.0</v>
      </c>
      <c r="J284" s="10">
        <f t="shared" si="1"/>
        <v>196243.4783</v>
      </c>
      <c r="K284" s="10">
        <f t="shared" si="2"/>
        <v>2576826.221</v>
      </c>
    </row>
    <row r="285" ht="15.75" customHeight="1">
      <c r="A285" s="2" t="s">
        <v>59</v>
      </c>
      <c r="B285" s="2">
        <v>2024.0</v>
      </c>
      <c r="C285" s="2">
        <v>2.0</v>
      </c>
      <c r="D285" s="7">
        <v>322778.0</v>
      </c>
      <c r="E285" s="7">
        <v>145.533333333333</v>
      </c>
      <c r="F285" s="2">
        <v>3.0</v>
      </c>
      <c r="G285" s="7">
        <v>4.8</v>
      </c>
      <c r="H285" s="9">
        <v>3150409.7</v>
      </c>
      <c r="I285" s="9">
        <v>1222593.0</v>
      </c>
      <c r="J285" s="10">
        <f t="shared" si="1"/>
        <v>221789.7389</v>
      </c>
      <c r="K285" s="10">
        <f t="shared" si="2"/>
        <v>2576826.221</v>
      </c>
    </row>
    <row r="286" ht="15.75" customHeight="1">
      <c r="A286" s="2" t="s">
        <v>59</v>
      </c>
      <c r="B286" s="2">
        <v>2024.0</v>
      </c>
      <c r="C286" s="2">
        <v>3.0</v>
      </c>
      <c r="D286" s="7">
        <v>279645.0</v>
      </c>
      <c r="E286" s="7">
        <v>147.7</v>
      </c>
      <c r="F286" s="2">
        <v>3.0</v>
      </c>
      <c r="G286" s="7">
        <v>4.8</v>
      </c>
      <c r="H286" s="9">
        <v>3150409.7</v>
      </c>
      <c r="I286" s="9">
        <v>1222593.0</v>
      </c>
      <c r="J286" s="10">
        <f t="shared" si="1"/>
        <v>189333.1077</v>
      </c>
      <c r="K286" s="10">
        <f t="shared" si="2"/>
        <v>2576826.221</v>
      </c>
    </row>
    <row r="287" ht="15.75" customHeight="1">
      <c r="A287" s="2" t="s">
        <v>59</v>
      </c>
      <c r="B287" s="2">
        <v>2024.0</v>
      </c>
      <c r="C287" s="2">
        <v>4.0</v>
      </c>
      <c r="D287" s="7">
        <v>313073.0</v>
      </c>
      <c r="E287" s="7">
        <v>149.833333333333</v>
      </c>
      <c r="F287" s="2">
        <v>3.0</v>
      </c>
      <c r="G287" s="8"/>
      <c r="H287" s="9">
        <v>3150409.7</v>
      </c>
      <c r="I287" s="9">
        <v>1222593.0</v>
      </c>
      <c r="J287" s="10">
        <f t="shared" si="1"/>
        <v>208947.4972</v>
      </c>
      <c r="K287" s="10">
        <f t="shared" si="2"/>
        <v>2576826.221</v>
      </c>
    </row>
    <row r="288" ht="15.75" customHeight="1">
      <c r="A288" s="2" t="s">
        <v>59</v>
      </c>
      <c r="B288" s="2">
        <v>2025.0</v>
      </c>
      <c r="C288" s="2">
        <v>1.0</v>
      </c>
      <c r="D288" s="7">
        <v>308891.0</v>
      </c>
      <c r="E288" s="7">
        <v>155.033333333333</v>
      </c>
      <c r="F288" s="2">
        <v>3.0</v>
      </c>
      <c r="G288" s="8"/>
      <c r="H288" s="9">
        <v>3341625.8</v>
      </c>
      <c r="I288" s="9">
        <v>1222391.0</v>
      </c>
      <c r="J288" s="10">
        <f t="shared" si="1"/>
        <v>199241.6685</v>
      </c>
      <c r="K288" s="10">
        <f t="shared" si="2"/>
        <v>2733679.976</v>
      </c>
    </row>
    <row r="289" ht="15.75" customHeight="1">
      <c r="A289" s="2" t="s">
        <v>59</v>
      </c>
      <c r="B289" s="2">
        <v>2025.0</v>
      </c>
      <c r="C289" s="2">
        <v>2.0</v>
      </c>
      <c r="D289" s="7">
        <v>355167.0</v>
      </c>
      <c r="E289" s="7">
        <v>159.666666666667</v>
      </c>
      <c r="F289" s="2">
        <v>3.0</v>
      </c>
      <c r="G289" s="8"/>
      <c r="H289" s="9">
        <v>3341625.8</v>
      </c>
      <c r="I289" s="9">
        <v>1222391.0</v>
      </c>
      <c r="J289" s="10">
        <f t="shared" si="1"/>
        <v>222442.7975</v>
      </c>
      <c r="K289" s="10">
        <f t="shared" si="2"/>
        <v>2733679.976</v>
      </c>
    </row>
    <row r="290" ht="15.75" customHeight="1">
      <c r="A290" s="2" t="s">
        <v>59</v>
      </c>
      <c r="B290" s="2">
        <v>2025.0</v>
      </c>
      <c r="C290" s="2">
        <v>3.0</v>
      </c>
      <c r="D290" s="7">
        <v>308058.0</v>
      </c>
      <c r="E290" s="7">
        <v>163.5</v>
      </c>
      <c r="F290" s="2">
        <v>3.0</v>
      </c>
      <c r="G290" s="8"/>
      <c r="H290" s="9">
        <v>3341625.8</v>
      </c>
      <c r="I290" s="9">
        <v>1222391.0</v>
      </c>
      <c r="J290" s="10">
        <f t="shared" si="1"/>
        <v>188414.6789</v>
      </c>
      <c r="K290" s="10">
        <f t="shared" si="2"/>
        <v>2733679.976</v>
      </c>
    </row>
    <row r="291" ht="15.75" customHeight="1">
      <c r="A291" s="2" t="s">
        <v>59</v>
      </c>
      <c r="B291" s="2">
        <v>2025.0</v>
      </c>
      <c r="C291" s="2">
        <v>4.0</v>
      </c>
      <c r="D291" s="7">
        <v>335794.0</v>
      </c>
      <c r="E291" s="7">
        <v>167.466666666667</v>
      </c>
      <c r="F291" s="2">
        <v>3.0</v>
      </c>
      <c r="G291" s="8"/>
      <c r="H291" s="9">
        <v>3341625.8</v>
      </c>
      <c r="I291" s="9">
        <v>1222391.0</v>
      </c>
      <c r="J291" s="10">
        <f t="shared" si="1"/>
        <v>200513.9331</v>
      </c>
      <c r="K291" s="10">
        <f t="shared" si="2"/>
        <v>2733679.976</v>
      </c>
    </row>
    <row r="292" ht="15.75" customHeight="1">
      <c r="A292" s="2" t="s">
        <v>59</v>
      </c>
      <c r="B292" s="2">
        <v>2026.0</v>
      </c>
      <c r="C292" s="2">
        <v>1.0</v>
      </c>
      <c r="D292" s="7">
        <v>328952.0</v>
      </c>
      <c r="E292" s="7">
        <v>172.733333333333</v>
      </c>
      <c r="F292" s="2">
        <v>3.0</v>
      </c>
      <c r="G292" s="8"/>
      <c r="H292" s="8"/>
      <c r="I292" s="8"/>
      <c r="J292" s="10">
        <f t="shared" si="1"/>
        <v>190439.2127</v>
      </c>
      <c r="K292" s="10" t="str">
        <f t="shared" si="2"/>
        <v/>
      </c>
    </row>
    <row r="293" ht="15.75" customHeight="1">
      <c r="A293" s="2" t="s">
        <v>59</v>
      </c>
      <c r="B293" s="2">
        <v>2026.0</v>
      </c>
      <c r="C293" s="2">
        <v>2.0</v>
      </c>
      <c r="D293" s="7">
        <v>375456.0</v>
      </c>
      <c r="E293" s="7">
        <v>176.466666666667</v>
      </c>
      <c r="F293" s="2">
        <v>3.0</v>
      </c>
      <c r="G293" s="8"/>
      <c r="H293" s="8"/>
      <c r="I293" s="8"/>
      <c r="J293" s="10">
        <f t="shared" si="1"/>
        <v>212763.1281</v>
      </c>
      <c r="K293" s="10" t="str">
        <f t="shared" si="2"/>
        <v/>
      </c>
    </row>
    <row r="294" ht="15.75" customHeight="1">
      <c r="A294" s="2" t="s">
        <v>60</v>
      </c>
      <c r="B294" s="2">
        <v>2022.0</v>
      </c>
      <c r="C294" s="2">
        <v>4.0</v>
      </c>
      <c r="D294" s="7">
        <v>250593.0</v>
      </c>
      <c r="E294" s="8"/>
      <c r="F294" s="2"/>
      <c r="G294" s="7">
        <v>5.1</v>
      </c>
      <c r="H294" s="9">
        <v>1426882.2</v>
      </c>
      <c r="I294" s="9">
        <v>698757.0</v>
      </c>
      <c r="J294" s="10" t="str">
        <f t="shared" si="1"/>
        <v/>
      </c>
      <c r="K294" s="10">
        <f t="shared" si="2"/>
        <v>2042029.203</v>
      </c>
    </row>
    <row r="295" ht="15.75" customHeight="1">
      <c r="A295" s="2" t="s">
        <v>60</v>
      </c>
      <c r="B295" s="2">
        <v>2023.0</v>
      </c>
      <c r="C295" s="2">
        <v>1.0</v>
      </c>
      <c r="D295" s="7">
        <v>246203.0</v>
      </c>
      <c r="E295" s="7">
        <v>131.85</v>
      </c>
      <c r="F295" s="2">
        <v>2.0</v>
      </c>
      <c r="G295" s="7">
        <v>5.0</v>
      </c>
      <c r="H295" s="9">
        <v>1809417.6</v>
      </c>
      <c r="I295" s="9">
        <v>698726.0</v>
      </c>
      <c r="J295" s="10">
        <f t="shared" si="1"/>
        <v>186729.617</v>
      </c>
      <c r="K295" s="10">
        <f t="shared" si="2"/>
        <v>2589595.349</v>
      </c>
    </row>
    <row r="296" ht="15.75" customHeight="1">
      <c r="A296" s="2" t="s">
        <v>60</v>
      </c>
      <c r="B296" s="2">
        <v>2023.0</v>
      </c>
      <c r="C296" s="2">
        <v>2.0</v>
      </c>
      <c r="D296" s="7">
        <v>274205.0</v>
      </c>
      <c r="E296" s="7">
        <v>135.6</v>
      </c>
      <c r="F296" s="2">
        <v>1.0</v>
      </c>
      <c r="G296" s="7">
        <v>4.9</v>
      </c>
      <c r="H296" s="9">
        <v>1809417.6</v>
      </c>
      <c r="I296" s="9">
        <v>698726.0</v>
      </c>
      <c r="J296" s="10">
        <f t="shared" si="1"/>
        <v>202216.0767</v>
      </c>
      <c r="K296" s="10">
        <f t="shared" si="2"/>
        <v>2589595.349</v>
      </c>
    </row>
    <row r="297" ht="15.75" customHeight="1">
      <c r="A297" s="2" t="s">
        <v>60</v>
      </c>
      <c r="B297" s="2">
        <v>2023.0</v>
      </c>
      <c r="C297" s="2">
        <v>3.0</v>
      </c>
      <c r="D297" s="7">
        <v>259690.0</v>
      </c>
      <c r="E297" s="7">
        <v>139.2</v>
      </c>
      <c r="F297" s="2">
        <v>1.0</v>
      </c>
      <c r="G297" s="7">
        <v>4.8</v>
      </c>
      <c r="H297" s="9">
        <v>1809417.6</v>
      </c>
      <c r="I297" s="9">
        <v>698726.0</v>
      </c>
      <c r="J297" s="10">
        <f t="shared" si="1"/>
        <v>186558.908</v>
      </c>
      <c r="K297" s="10">
        <f t="shared" si="2"/>
        <v>2589595.349</v>
      </c>
    </row>
    <row r="298" ht="15.75" customHeight="1">
      <c r="A298" s="2" t="s">
        <v>60</v>
      </c>
      <c r="B298" s="2">
        <v>2023.0</v>
      </c>
      <c r="C298" s="2">
        <v>4.0</v>
      </c>
      <c r="D298" s="7">
        <v>288182.0</v>
      </c>
      <c r="E298" s="7">
        <v>141.766666666667</v>
      </c>
      <c r="F298" s="2">
        <v>3.0</v>
      </c>
      <c r="G298" s="7">
        <v>4.8</v>
      </c>
      <c r="H298" s="9">
        <v>1809417.6</v>
      </c>
      <c r="I298" s="9">
        <v>698726.0</v>
      </c>
      <c r="J298" s="10">
        <f t="shared" si="1"/>
        <v>203279.0971</v>
      </c>
      <c r="K298" s="10">
        <f t="shared" si="2"/>
        <v>2589595.349</v>
      </c>
    </row>
    <row r="299" ht="15.75" customHeight="1">
      <c r="A299" s="2" t="s">
        <v>60</v>
      </c>
      <c r="B299" s="2">
        <v>2024.0</v>
      </c>
      <c r="C299" s="2">
        <v>1.0</v>
      </c>
      <c r="D299" s="7">
        <v>270205.0</v>
      </c>
      <c r="E299" s="7">
        <v>145.3</v>
      </c>
      <c r="F299" s="2">
        <v>2.0</v>
      </c>
      <c r="G299" s="7">
        <v>4.8</v>
      </c>
      <c r="H299" s="9">
        <v>2227944.1</v>
      </c>
      <c r="I299" s="9">
        <v>697987.0</v>
      </c>
      <c r="J299" s="10">
        <f t="shared" si="1"/>
        <v>185963.5237</v>
      </c>
      <c r="K299" s="10">
        <f t="shared" si="2"/>
        <v>3191956.44</v>
      </c>
    </row>
    <row r="300" ht="15.75" customHeight="1">
      <c r="A300" s="2" t="s">
        <v>60</v>
      </c>
      <c r="B300" s="2">
        <v>2024.0</v>
      </c>
      <c r="C300" s="2">
        <v>2.0</v>
      </c>
      <c r="D300" s="7">
        <v>300393.0</v>
      </c>
      <c r="E300" s="7">
        <v>148.733333333333</v>
      </c>
      <c r="F300" s="2">
        <v>3.0</v>
      </c>
      <c r="G300" s="7">
        <v>4.9</v>
      </c>
      <c r="H300" s="9">
        <v>2227944.1</v>
      </c>
      <c r="I300" s="9">
        <v>697987.0</v>
      </c>
      <c r="J300" s="10">
        <f t="shared" si="1"/>
        <v>201967.5034</v>
      </c>
      <c r="K300" s="10">
        <f t="shared" si="2"/>
        <v>3191956.44</v>
      </c>
    </row>
    <row r="301" ht="15.75" customHeight="1">
      <c r="A301" s="2" t="s">
        <v>60</v>
      </c>
      <c r="B301" s="2">
        <v>2024.0</v>
      </c>
      <c r="C301" s="2">
        <v>3.0</v>
      </c>
      <c r="D301" s="7">
        <v>280464.0</v>
      </c>
      <c r="E301" s="7">
        <v>150.833333333333</v>
      </c>
      <c r="F301" s="2">
        <v>3.0</v>
      </c>
      <c r="G301" s="7">
        <v>4.8</v>
      </c>
      <c r="H301" s="9">
        <v>2227944.1</v>
      </c>
      <c r="I301" s="9">
        <v>697987.0</v>
      </c>
      <c r="J301" s="10">
        <f t="shared" si="1"/>
        <v>185942.9834</v>
      </c>
      <c r="K301" s="10">
        <f t="shared" si="2"/>
        <v>3191956.44</v>
      </c>
    </row>
    <row r="302" ht="15.75" customHeight="1">
      <c r="A302" s="2" t="s">
        <v>60</v>
      </c>
      <c r="B302" s="2">
        <v>2024.0</v>
      </c>
      <c r="C302" s="2">
        <v>4.0</v>
      </c>
      <c r="D302" s="7">
        <v>314398.0</v>
      </c>
      <c r="E302" s="7">
        <v>153.566666666667</v>
      </c>
      <c r="F302" s="2">
        <v>3.0</v>
      </c>
      <c r="G302" s="8"/>
      <c r="H302" s="9">
        <v>2227944.1</v>
      </c>
      <c r="I302" s="9">
        <v>697987.0</v>
      </c>
      <c r="J302" s="10">
        <f t="shared" si="1"/>
        <v>204730.6273</v>
      </c>
      <c r="K302" s="10">
        <f t="shared" si="2"/>
        <v>3191956.44</v>
      </c>
    </row>
    <row r="303" ht="15.75" customHeight="1">
      <c r="A303" s="2" t="s">
        <v>60</v>
      </c>
      <c r="B303" s="2">
        <v>2025.0</v>
      </c>
      <c r="C303" s="2">
        <v>1.0</v>
      </c>
      <c r="D303" s="7">
        <v>308429.0</v>
      </c>
      <c r="E303" s="7">
        <v>157.833333333333</v>
      </c>
      <c r="F303" s="2">
        <v>3.0</v>
      </c>
      <c r="G303" s="8"/>
      <c r="H303" s="9">
        <v>2507485.9</v>
      </c>
      <c r="I303" s="9">
        <v>694325.0</v>
      </c>
      <c r="J303" s="10">
        <f t="shared" si="1"/>
        <v>195414.3611</v>
      </c>
      <c r="K303" s="10">
        <f t="shared" si="2"/>
        <v>3611400.857</v>
      </c>
    </row>
    <row r="304" ht="15.75" customHeight="1">
      <c r="A304" s="2" t="s">
        <v>60</v>
      </c>
      <c r="B304" s="2">
        <v>2025.0</v>
      </c>
      <c r="C304" s="2">
        <v>2.0</v>
      </c>
      <c r="D304" s="7">
        <v>355644.0</v>
      </c>
      <c r="E304" s="7">
        <v>163.066666666667</v>
      </c>
      <c r="F304" s="2">
        <v>3.0</v>
      </c>
      <c r="G304" s="8"/>
      <c r="H304" s="9">
        <v>2507485.9</v>
      </c>
      <c r="I304" s="9">
        <v>694325.0</v>
      </c>
      <c r="J304" s="10">
        <f t="shared" si="1"/>
        <v>218097.3017</v>
      </c>
      <c r="K304" s="10">
        <f t="shared" si="2"/>
        <v>3611400.857</v>
      </c>
    </row>
    <row r="305" ht="15.75" customHeight="1">
      <c r="A305" s="2" t="s">
        <v>60</v>
      </c>
      <c r="B305" s="2">
        <v>2025.0</v>
      </c>
      <c r="C305" s="2">
        <v>3.0</v>
      </c>
      <c r="D305" s="7">
        <v>331211.0</v>
      </c>
      <c r="E305" s="7">
        <v>168.133333333333</v>
      </c>
      <c r="F305" s="2">
        <v>3.0</v>
      </c>
      <c r="G305" s="8"/>
      <c r="H305" s="9">
        <v>2507485.9</v>
      </c>
      <c r="I305" s="9">
        <v>694325.0</v>
      </c>
      <c r="J305" s="10">
        <f t="shared" si="1"/>
        <v>196993.0611</v>
      </c>
      <c r="K305" s="10">
        <f t="shared" si="2"/>
        <v>3611400.857</v>
      </c>
    </row>
    <row r="306" ht="15.75" customHeight="1">
      <c r="A306" s="2" t="s">
        <v>60</v>
      </c>
      <c r="B306" s="2">
        <v>2025.0</v>
      </c>
      <c r="C306" s="2">
        <v>4.0</v>
      </c>
      <c r="D306" s="7">
        <v>349593.0</v>
      </c>
      <c r="E306" s="7">
        <v>172.866666666667</v>
      </c>
      <c r="F306" s="2">
        <v>3.0</v>
      </c>
      <c r="G306" s="8"/>
      <c r="H306" s="9">
        <v>2507485.9</v>
      </c>
      <c r="I306" s="9">
        <v>694325.0</v>
      </c>
      <c r="J306" s="10">
        <f t="shared" si="1"/>
        <v>202232.742</v>
      </c>
      <c r="K306" s="10">
        <f t="shared" si="2"/>
        <v>3611400.857</v>
      </c>
    </row>
    <row r="307" ht="15.75" customHeight="1">
      <c r="A307" s="2" t="s">
        <v>60</v>
      </c>
      <c r="B307" s="2">
        <v>2026.0</v>
      </c>
      <c r="C307" s="2">
        <v>1.0</v>
      </c>
      <c r="D307" s="7">
        <v>346199.0</v>
      </c>
      <c r="E307" s="7">
        <v>177.066666666667</v>
      </c>
      <c r="F307" s="2">
        <v>3.0</v>
      </c>
      <c r="G307" s="8"/>
      <c r="H307" s="8"/>
      <c r="I307" s="8"/>
      <c r="J307" s="10">
        <f t="shared" si="1"/>
        <v>195519.0136</v>
      </c>
      <c r="K307" s="10" t="str">
        <f t="shared" si="2"/>
        <v/>
      </c>
    </row>
    <row r="308" ht="15.75" customHeight="1">
      <c r="A308" s="2" t="s">
        <v>60</v>
      </c>
      <c r="B308" s="2">
        <v>2026.0</v>
      </c>
      <c r="C308" s="2">
        <v>2.0</v>
      </c>
      <c r="D308" s="7">
        <v>377798.0</v>
      </c>
      <c r="E308" s="7">
        <v>182.033333333333</v>
      </c>
      <c r="F308" s="2">
        <v>3.0</v>
      </c>
      <c r="G308" s="8"/>
      <c r="H308" s="8"/>
      <c r="I308" s="8"/>
      <c r="J308" s="10">
        <f t="shared" si="1"/>
        <v>207543.3071</v>
      </c>
      <c r="K308" s="10" t="str">
        <f t="shared" si="2"/>
        <v/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5" width="14.0"/>
    <col customWidth="1" min="6" max="6" width="80.0"/>
    <col customWidth="1" min="7" max="26" width="8.71"/>
  </cols>
  <sheetData>
    <row r="1">
      <c r="A1" s="5" t="s">
        <v>13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</row>
    <row r="2">
      <c r="A2" s="2" t="s">
        <v>16</v>
      </c>
      <c r="B2" s="4" t="s">
        <v>34</v>
      </c>
      <c r="C2" s="2">
        <v>307.0</v>
      </c>
      <c r="D2" s="2">
        <v>307.0</v>
      </c>
      <c r="E2" s="2">
        <v>0.0</v>
      </c>
      <c r="F2" s="2" t="s">
        <v>35</v>
      </c>
    </row>
    <row r="3">
      <c r="A3" s="2" t="s">
        <v>17</v>
      </c>
      <c r="B3" s="4" t="s">
        <v>34</v>
      </c>
      <c r="C3" s="2">
        <v>307.0</v>
      </c>
      <c r="D3" s="2">
        <v>286.0</v>
      </c>
      <c r="E3" s="2">
        <v>21.0</v>
      </c>
      <c r="F3" s="2" t="s">
        <v>36</v>
      </c>
    </row>
    <row r="4">
      <c r="A4" s="2" t="s">
        <v>19</v>
      </c>
      <c r="B4" s="4" t="s">
        <v>34</v>
      </c>
      <c r="C4" s="2">
        <v>307.0</v>
      </c>
      <c r="D4" s="2">
        <v>165.0</v>
      </c>
      <c r="E4" s="2">
        <v>142.0</v>
      </c>
      <c r="F4" s="2" t="s">
        <v>37</v>
      </c>
    </row>
    <row r="5">
      <c r="A5" s="2" t="s">
        <v>20</v>
      </c>
      <c r="B5" s="2" t="s">
        <v>38</v>
      </c>
      <c r="C5" s="2">
        <v>307.0</v>
      </c>
      <c r="D5" s="2">
        <v>267.0</v>
      </c>
      <c r="E5" s="2">
        <v>40.0</v>
      </c>
      <c r="F5" s="2" t="s">
        <v>39</v>
      </c>
    </row>
    <row r="6">
      <c r="A6" s="2" t="s">
        <v>21</v>
      </c>
      <c r="B6" s="2" t="s">
        <v>38</v>
      </c>
      <c r="C6" s="2">
        <v>307.0</v>
      </c>
      <c r="D6" s="2">
        <v>267.0</v>
      </c>
      <c r="E6" s="2">
        <v>40.0</v>
      </c>
      <c r="F6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